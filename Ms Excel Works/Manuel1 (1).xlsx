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L1-13\Documents\"/>
    </mc:Choice>
  </mc:AlternateContent>
  <xr:revisionPtr revIDLastSave="0" documentId="8_{555E660B-B4B4-49C3-B78C-ED0895F5F28A}" xr6:coauthVersionLast="47" xr6:coauthVersionMax="47" xr10:uidLastSave="{00000000-0000-0000-0000-000000000000}"/>
  <bookViews>
    <workbookView xWindow="-120" yWindow="-120" windowWidth="29040" windowHeight="15720" activeTab="3" xr2:uid="{7CE4F2ED-A79B-487C-9CDA-DBC9555ED0B9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E2" i="3" a="1"/>
  <c r="E2" i="3" s="1"/>
  <c r="E4" i="2"/>
  <c r="H2" i="1"/>
  <c r="H3" i="1"/>
  <c r="E14" i="2"/>
  <c r="E13" i="2"/>
  <c r="E12" i="2"/>
  <c r="E11" i="2"/>
  <c r="E10" i="2"/>
  <c r="E9" i="2"/>
  <c r="E8" i="2"/>
  <c r="E7" i="2"/>
  <c r="E6" i="2"/>
  <c r="E5" i="2"/>
  <c r="E3" i="2"/>
  <c r="E2" i="2"/>
  <c r="H6" i="1"/>
  <c r="H14" i="1"/>
  <c r="H13" i="1"/>
  <c r="H12" i="1"/>
  <c r="H11" i="1"/>
  <c r="H10" i="1"/>
  <c r="H9" i="1"/>
  <c r="H8" i="1"/>
  <c r="H7" i="1"/>
  <c r="H5" i="1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<sst xmlns="http://schemas.openxmlformats.org/spreadsheetml/2006/main" count="142" uniqueCount="80">
  <si>
    <t>Employee ID</t>
  </si>
  <si>
    <t>Last Name</t>
  </si>
  <si>
    <t>First Name</t>
  </si>
  <si>
    <t>Department</t>
  </si>
  <si>
    <t>Position</t>
  </si>
  <si>
    <t>Employment Status</t>
  </si>
  <si>
    <t>Hire Date</t>
  </si>
  <si>
    <t>EMP-2006</t>
  </si>
  <si>
    <t>EMP-2007</t>
  </si>
  <si>
    <t>EMP-2008</t>
  </si>
  <si>
    <t>EMP-2009</t>
  </si>
  <si>
    <t>EMP-2010</t>
  </si>
  <si>
    <t>Ramirez</t>
  </si>
  <si>
    <t>Garcia</t>
  </si>
  <si>
    <t>Cruz</t>
  </si>
  <si>
    <t>Perez</t>
  </si>
  <si>
    <t>Lim</t>
  </si>
  <si>
    <t>David</t>
  </si>
  <si>
    <t>Sophia</t>
  </si>
  <si>
    <t>Michael</t>
  </si>
  <si>
    <t>Chloe</t>
  </si>
  <si>
    <t>Jessica</t>
  </si>
  <si>
    <t>Marketing</t>
  </si>
  <si>
    <t>IT</t>
  </si>
  <si>
    <t xml:space="preserve"> IT</t>
  </si>
  <si>
    <t>Sales</t>
  </si>
  <si>
    <t>Finance</t>
  </si>
  <si>
    <t>Operations</t>
  </si>
  <si>
    <t>Regular</t>
  </si>
  <si>
    <t>Probationary</t>
  </si>
  <si>
    <t>Contractual</t>
  </si>
  <si>
    <t>Manager</t>
  </si>
  <si>
    <t>Specialist</t>
  </si>
  <si>
    <t>Agent</t>
  </si>
  <si>
    <t>Accountant</t>
  </si>
  <si>
    <t>Technician</t>
  </si>
  <si>
    <t xml:space="preserve"> Technician</t>
  </si>
  <si>
    <t>EMP-2011</t>
  </si>
  <si>
    <t>EMP-2012</t>
  </si>
  <si>
    <t>EMP-2013</t>
  </si>
  <si>
    <t>EMP-2014</t>
  </si>
  <si>
    <t>EMP-2015</t>
  </si>
  <si>
    <t>Reyes</t>
  </si>
  <si>
    <t>Alonzo</t>
  </si>
  <si>
    <t>Castro</t>
  </si>
  <si>
    <t>Bautista</t>
  </si>
  <si>
    <t>Dizon</t>
  </si>
  <si>
    <t>Ethan</t>
  </si>
  <si>
    <t>Michelle</t>
  </si>
  <si>
    <t>Robert</t>
  </si>
  <si>
    <t>Sarah</t>
  </si>
  <si>
    <t>Kenneth</t>
  </si>
  <si>
    <t>HR</t>
  </si>
  <si>
    <t>Admin</t>
  </si>
  <si>
    <t>Clerk</t>
  </si>
  <si>
    <t>EMP-2016</t>
  </si>
  <si>
    <t>EMP-2017</t>
  </si>
  <si>
    <t>EMP-2018</t>
  </si>
  <si>
    <t xml:space="preserve">Jane </t>
  </si>
  <si>
    <t>John</t>
  </si>
  <si>
    <t>Alex</t>
  </si>
  <si>
    <t>Doe</t>
  </si>
  <si>
    <t>Smith</t>
  </si>
  <si>
    <t>Chen</t>
  </si>
  <si>
    <t>Month 1</t>
  </si>
  <si>
    <t>Month 2</t>
  </si>
  <si>
    <t>Month 3</t>
  </si>
  <si>
    <t>Performance Average</t>
  </si>
  <si>
    <t>Work of Service</t>
  </si>
  <si>
    <t>Row Labels</t>
  </si>
  <si>
    <t>Grand Total</t>
  </si>
  <si>
    <t>Sum of Month 1</t>
  </si>
  <si>
    <t>Sum of Month 2</t>
  </si>
  <si>
    <t>Sum of Month 3</t>
  </si>
  <si>
    <t>Sum of Performance Average</t>
  </si>
  <si>
    <t>Total Days</t>
  </si>
  <si>
    <t>Present Days</t>
  </si>
  <si>
    <t>Late Count</t>
  </si>
  <si>
    <t>Attendance Rate (%)</t>
  </si>
  <si>
    <t>Sheet 4: HR_Dashboard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</si>
</sst>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Arial Unicode MS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70" fontId="4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 applyAlignment="1">
      <alignment vertical="center"/>
    </xf>
    <xf numFmtId="0" fontId="1" fillId="2" borderId="0" xfId="1"/>
    <xf numFmtId="0" fontId="2" fillId="3" borderId="0" xfId="2"/>
    <xf numFmtId="0" fontId="3" fillId="4" borderId="0" xfId="3"/>
    <xf numFmtId="0" fontId="7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[Manuel1.xlsx]Sheet2!PivotTable2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Sum of Month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Sheet2!$G$6:$G$19</c:f>
              <c:strCache>
                <c:ptCount val="13"/>
                <c:pt idx="0">
                  <c:v>EMP-2006</c:v>
                </c:pt>
                <c:pt idx="1">
                  <c:v>EMP-2007</c:v>
                </c:pt>
                <c:pt idx="2">
                  <c:v>EMP-2008</c:v>
                </c:pt>
                <c:pt idx="3">
                  <c:v>EMP-2009</c:v>
                </c:pt>
                <c:pt idx="4">
                  <c:v>EMP-2010</c:v>
                </c:pt>
                <c:pt idx="5">
                  <c:v>EMP-2011</c:v>
                </c:pt>
                <c:pt idx="6">
                  <c:v>EMP-2012</c:v>
                </c:pt>
                <c:pt idx="7">
                  <c:v>EMP-2013</c:v>
                </c:pt>
                <c:pt idx="8">
                  <c:v>EMP-2014</c:v>
                </c:pt>
                <c:pt idx="9">
                  <c:v>EMP-2015</c:v>
                </c:pt>
                <c:pt idx="10">
                  <c:v>EMP-2016</c:v>
                </c:pt>
                <c:pt idx="11">
                  <c:v>EMP-2017</c:v>
                </c:pt>
                <c:pt idx="12">
                  <c:v>EMP-2018</c:v>
                </c:pt>
              </c:strCache>
            </c:strRef>
          </c:cat>
          <c:val>
            <c:numRef>
              <c:f>Sheet2!$H$6:$H$19</c:f>
              <c:numCache>
                <c:formatCode>General</c:formatCode>
                <c:ptCount val="13"/>
                <c:pt idx="0">
                  <c:v>80</c:v>
                </c:pt>
                <c:pt idx="1">
                  <c:v>78</c:v>
                </c:pt>
                <c:pt idx="2">
                  <c:v>69</c:v>
                </c:pt>
                <c:pt idx="3">
                  <c:v>90</c:v>
                </c:pt>
                <c:pt idx="4">
                  <c:v>71</c:v>
                </c:pt>
                <c:pt idx="5">
                  <c:v>84</c:v>
                </c:pt>
                <c:pt idx="6">
                  <c:v>92</c:v>
                </c:pt>
                <c:pt idx="7">
                  <c:v>75</c:v>
                </c:pt>
                <c:pt idx="8">
                  <c:v>84</c:v>
                </c:pt>
                <c:pt idx="9">
                  <c:v>81</c:v>
                </c:pt>
                <c:pt idx="10">
                  <c:v>73</c:v>
                </c:pt>
                <c:pt idx="11">
                  <c:v>67</c:v>
                </c:pt>
                <c:pt idx="1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0-47AE-A4A8-A9A3D8DA897E}"/>
            </c:ext>
          </c:extLst>
        </c:ser>
        <c:ser>
          <c:idx val="1"/>
          <c:order val="1"/>
          <c:tx>
            <c:strRef>
              <c:f>Sheet2!$I$5</c:f>
              <c:strCache>
                <c:ptCount val="1"/>
                <c:pt idx="0">
                  <c:v>Sum of Month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Sheet2!$G$6:$G$19</c:f>
              <c:strCache>
                <c:ptCount val="13"/>
                <c:pt idx="0">
                  <c:v>EMP-2006</c:v>
                </c:pt>
                <c:pt idx="1">
                  <c:v>EMP-2007</c:v>
                </c:pt>
                <c:pt idx="2">
                  <c:v>EMP-2008</c:v>
                </c:pt>
                <c:pt idx="3">
                  <c:v>EMP-2009</c:v>
                </c:pt>
                <c:pt idx="4">
                  <c:v>EMP-2010</c:v>
                </c:pt>
                <c:pt idx="5">
                  <c:v>EMP-2011</c:v>
                </c:pt>
                <c:pt idx="6">
                  <c:v>EMP-2012</c:v>
                </c:pt>
                <c:pt idx="7">
                  <c:v>EMP-2013</c:v>
                </c:pt>
                <c:pt idx="8">
                  <c:v>EMP-2014</c:v>
                </c:pt>
                <c:pt idx="9">
                  <c:v>EMP-2015</c:v>
                </c:pt>
                <c:pt idx="10">
                  <c:v>EMP-2016</c:v>
                </c:pt>
                <c:pt idx="11">
                  <c:v>EMP-2017</c:v>
                </c:pt>
                <c:pt idx="12">
                  <c:v>EMP-2018</c:v>
                </c:pt>
              </c:strCache>
            </c:strRef>
          </c:cat>
          <c:val>
            <c:numRef>
              <c:f>Sheet2!$I$6:$I$19</c:f>
              <c:numCache>
                <c:formatCode>General</c:formatCode>
                <c:ptCount val="13"/>
                <c:pt idx="0">
                  <c:v>85</c:v>
                </c:pt>
                <c:pt idx="1">
                  <c:v>81</c:v>
                </c:pt>
                <c:pt idx="2">
                  <c:v>82</c:v>
                </c:pt>
                <c:pt idx="3">
                  <c:v>91</c:v>
                </c:pt>
                <c:pt idx="4">
                  <c:v>78</c:v>
                </c:pt>
                <c:pt idx="5">
                  <c:v>88</c:v>
                </c:pt>
                <c:pt idx="6">
                  <c:v>76</c:v>
                </c:pt>
                <c:pt idx="7">
                  <c:v>79</c:v>
                </c:pt>
                <c:pt idx="8">
                  <c:v>64</c:v>
                </c:pt>
                <c:pt idx="9">
                  <c:v>86</c:v>
                </c:pt>
                <c:pt idx="10">
                  <c:v>71</c:v>
                </c:pt>
                <c:pt idx="11">
                  <c:v>70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0-47AE-A4A8-A9A3D8DA897E}"/>
            </c:ext>
          </c:extLst>
        </c:ser>
        <c:ser>
          <c:idx val="2"/>
          <c:order val="2"/>
          <c:tx>
            <c:strRef>
              <c:f>Sheet2!$J$5</c:f>
              <c:strCache>
                <c:ptCount val="1"/>
                <c:pt idx="0">
                  <c:v>Sum of Month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Sheet2!$G$6:$G$19</c:f>
              <c:strCache>
                <c:ptCount val="13"/>
                <c:pt idx="0">
                  <c:v>EMP-2006</c:v>
                </c:pt>
                <c:pt idx="1">
                  <c:v>EMP-2007</c:v>
                </c:pt>
                <c:pt idx="2">
                  <c:v>EMP-2008</c:v>
                </c:pt>
                <c:pt idx="3">
                  <c:v>EMP-2009</c:v>
                </c:pt>
                <c:pt idx="4">
                  <c:v>EMP-2010</c:v>
                </c:pt>
                <c:pt idx="5">
                  <c:v>EMP-2011</c:v>
                </c:pt>
                <c:pt idx="6">
                  <c:v>EMP-2012</c:v>
                </c:pt>
                <c:pt idx="7">
                  <c:v>EMP-2013</c:v>
                </c:pt>
                <c:pt idx="8">
                  <c:v>EMP-2014</c:v>
                </c:pt>
                <c:pt idx="9">
                  <c:v>EMP-2015</c:v>
                </c:pt>
                <c:pt idx="10">
                  <c:v>EMP-2016</c:v>
                </c:pt>
                <c:pt idx="11">
                  <c:v>EMP-2017</c:v>
                </c:pt>
                <c:pt idx="12">
                  <c:v>EMP-2018</c:v>
                </c:pt>
              </c:strCache>
            </c:strRef>
          </c:cat>
          <c:val>
            <c:numRef>
              <c:f>Sheet2!$J$6:$J$19</c:f>
              <c:numCache>
                <c:formatCode>General</c:formatCode>
                <c:ptCount val="13"/>
                <c:pt idx="0">
                  <c:v>92</c:v>
                </c:pt>
                <c:pt idx="1">
                  <c:v>85</c:v>
                </c:pt>
                <c:pt idx="2">
                  <c:v>71</c:v>
                </c:pt>
                <c:pt idx="3">
                  <c:v>68</c:v>
                </c:pt>
                <c:pt idx="4">
                  <c:v>72</c:v>
                </c:pt>
                <c:pt idx="5">
                  <c:v>92</c:v>
                </c:pt>
                <c:pt idx="6">
                  <c:v>71</c:v>
                </c:pt>
                <c:pt idx="7">
                  <c:v>75</c:v>
                </c:pt>
                <c:pt idx="8">
                  <c:v>81</c:v>
                </c:pt>
                <c:pt idx="9">
                  <c:v>69</c:v>
                </c:pt>
                <c:pt idx="10">
                  <c:v>64</c:v>
                </c:pt>
                <c:pt idx="11">
                  <c:v>79</c:v>
                </c:pt>
                <c:pt idx="1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0-47AE-A4A8-A9A3D8DA897E}"/>
            </c:ext>
          </c:extLst>
        </c:ser>
        <c:ser>
          <c:idx val="3"/>
          <c:order val="3"/>
          <c:tx>
            <c:strRef>
              <c:f>Sheet2!$K$5</c:f>
              <c:strCache>
                <c:ptCount val="1"/>
                <c:pt idx="0">
                  <c:v>Sum of Performance 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Sheet2!$G$6:$G$19</c:f>
              <c:strCache>
                <c:ptCount val="13"/>
                <c:pt idx="0">
                  <c:v>EMP-2006</c:v>
                </c:pt>
                <c:pt idx="1">
                  <c:v>EMP-2007</c:v>
                </c:pt>
                <c:pt idx="2">
                  <c:v>EMP-2008</c:v>
                </c:pt>
                <c:pt idx="3">
                  <c:v>EMP-2009</c:v>
                </c:pt>
                <c:pt idx="4">
                  <c:v>EMP-2010</c:v>
                </c:pt>
                <c:pt idx="5">
                  <c:v>EMP-2011</c:v>
                </c:pt>
                <c:pt idx="6">
                  <c:v>EMP-2012</c:v>
                </c:pt>
                <c:pt idx="7">
                  <c:v>EMP-2013</c:v>
                </c:pt>
                <c:pt idx="8">
                  <c:v>EMP-2014</c:v>
                </c:pt>
                <c:pt idx="9">
                  <c:v>EMP-2015</c:v>
                </c:pt>
                <c:pt idx="10">
                  <c:v>EMP-2016</c:v>
                </c:pt>
                <c:pt idx="11">
                  <c:v>EMP-2017</c:v>
                </c:pt>
                <c:pt idx="12">
                  <c:v>EMP-2018</c:v>
                </c:pt>
              </c:strCache>
            </c:strRef>
          </c:cat>
          <c:val>
            <c:numRef>
              <c:f>Sheet2!$K$6:$K$19</c:f>
              <c:numCache>
                <c:formatCode>General</c:formatCode>
                <c:ptCount val="13"/>
                <c:pt idx="0">
                  <c:v>85.666666666666671</c:v>
                </c:pt>
                <c:pt idx="1">
                  <c:v>81.333333333333329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0-47AE-A4A8-A9A3D8DA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07728"/>
        <c:axId val="154953056"/>
      </c:barChart>
      <c:catAx>
        <c:axId val="11866077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53056"/>
        <c:crosses val="autoZero"/>
        <c:auto val="1"/>
        <c:lblAlgn val="ctr"/>
        <c:lblOffset val="100"/>
        <c:noMultiLvlLbl val="0"/>
      </c:catAx>
      <c:valAx>
        <c:axId val="1549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0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61912</xdr:rowOff>
    </xdr:from>
    <xdr:to>
      <xdr:col>4</xdr:col>
      <xdr:colOff>1219200</xdr:colOff>
      <xdr:row>28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94FB9E-EFB0-E320-03D0-DF2EDC76F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1-13" refreshedDate="45976.350992476851" createdVersion="8" refreshedVersion="8" minRefreshableVersion="3" recordCount="13" xr:uid="{3B686505-9F07-4F7A-8C6E-F15D372BD2D0}">
  <cacheSource type="worksheet">
    <worksheetSource ref="A1:E14" sheet="Sheet2"/>
  </cacheSource>
  <cacheFields count="5">
    <cacheField name="Employee ID" numFmtId="0">
      <sharedItems count="13">
        <s v="EMP-2006"/>
        <s v="EMP-2007"/>
        <s v="EMP-2008"/>
        <s v="EMP-2009"/>
        <s v="EMP-2010"/>
        <s v="EMP-2011"/>
        <s v="EMP-2012"/>
        <s v="EMP-2013"/>
        <s v="EMP-2014"/>
        <s v="EMP-2015"/>
        <s v="EMP-2016"/>
        <s v="EMP-2017"/>
        <s v="EMP-2018"/>
      </sharedItems>
    </cacheField>
    <cacheField name="Month 1" numFmtId="0">
      <sharedItems containsSemiMixedTypes="0" containsString="0" containsNumber="1" containsInteger="1" minValue="67" maxValue="92"/>
    </cacheField>
    <cacheField name="Month 2" numFmtId="0">
      <sharedItems containsSemiMixedTypes="0" containsString="0" containsNumber="1" containsInteger="1" minValue="61" maxValue="91"/>
    </cacheField>
    <cacheField name="Month 3" numFmtId="0">
      <sharedItems containsSemiMixedTypes="0" containsString="0" containsNumber="1" containsInteger="1" minValue="64" maxValue="92"/>
    </cacheField>
    <cacheField name="Performance Average" numFmtId="0">
      <sharedItems containsString="0" containsBlank="1" containsNumber="1" minValue="81.333333333333329" maxValue="85.6666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80"/>
    <n v="85"/>
    <n v="92"/>
    <n v="85.666666666666671"/>
  </r>
  <r>
    <x v="1"/>
    <n v="78"/>
    <n v="81"/>
    <n v="85"/>
    <n v="81.333333333333329"/>
  </r>
  <r>
    <x v="2"/>
    <n v="69"/>
    <n v="82"/>
    <n v="71"/>
    <m/>
  </r>
  <r>
    <x v="3"/>
    <n v="90"/>
    <n v="91"/>
    <n v="68"/>
    <m/>
  </r>
  <r>
    <x v="4"/>
    <n v="71"/>
    <n v="78"/>
    <n v="72"/>
    <m/>
  </r>
  <r>
    <x v="5"/>
    <n v="84"/>
    <n v="88"/>
    <n v="92"/>
    <m/>
  </r>
  <r>
    <x v="6"/>
    <n v="92"/>
    <n v="76"/>
    <n v="71"/>
    <m/>
  </r>
  <r>
    <x v="7"/>
    <n v="75"/>
    <n v="79"/>
    <n v="75"/>
    <m/>
  </r>
  <r>
    <x v="8"/>
    <n v="84"/>
    <n v="64"/>
    <n v="81"/>
    <m/>
  </r>
  <r>
    <x v="9"/>
    <n v="81"/>
    <n v="86"/>
    <n v="69"/>
    <m/>
  </r>
  <r>
    <x v="10"/>
    <n v="73"/>
    <n v="71"/>
    <n v="64"/>
    <m/>
  </r>
  <r>
    <x v="11"/>
    <n v="67"/>
    <n v="70"/>
    <n v="79"/>
    <m/>
  </r>
  <r>
    <x v="12"/>
    <n v="72"/>
    <n v="61"/>
    <n v="9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EC159-7F75-47A7-890D-1C3392FC9B6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5:K19" firstHeaderRow="0" firstDataRow="1" firstDataCol="1"/>
  <pivotFields count="5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onth 1" fld="1" baseField="0" baseItem="0"/>
    <dataField name="Sum of Month 2" fld="2" baseField="0" baseItem="0"/>
    <dataField name="Sum of Month 3" fld="3" baseField="0" baseItem="0"/>
    <dataField name="Sum of Performance Average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178C-AB52-4D3C-9458-BDE3B7EE0FC7}">
  <dimension ref="A1:H14"/>
  <sheetViews>
    <sheetView workbookViewId="0">
      <selection activeCell="H2" sqref="H2"/>
    </sheetView>
  </sheetViews>
  <sheetFormatPr defaultRowHeight="15"/>
  <cols>
    <col min="1" max="1" width="15" style="3" customWidth="1"/>
    <col min="2" max="2" width="17.5703125" style="3" customWidth="1"/>
    <col min="3" max="3" width="18.28515625" style="3" customWidth="1"/>
    <col min="4" max="4" width="16.7109375" style="3" customWidth="1"/>
    <col min="5" max="5" width="19.140625" style="3" customWidth="1"/>
    <col min="6" max="6" width="21.7109375" style="3" customWidth="1"/>
    <col min="7" max="7" width="21.7109375" style="6" customWidth="1"/>
    <col min="8" max="8" width="22.7109375" style="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68</v>
      </c>
    </row>
    <row r="2" spans="1:8">
      <c r="A2" s="3" t="s">
        <v>7</v>
      </c>
      <c r="B2" s="3" t="s">
        <v>12</v>
      </c>
      <c r="C2" s="3" t="s">
        <v>17</v>
      </c>
      <c r="D2" s="3" t="s">
        <v>22</v>
      </c>
      <c r="E2" s="3" t="s">
        <v>31</v>
      </c>
      <c r="F2" s="3" t="s">
        <v>28</v>
      </c>
      <c r="G2" s="6">
        <v>44486</v>
      </c>
      <c r="H2" s="6">
        <f ca="1">DATEDIF(G2, TODAY(), "Y")</f>
        <v>4</v>
      </c>
    </row>
    <row r="3" spans="1:8">
      <c r="A3" s="3" t="s">
        <v>8</v>
      </c>
      <c r="B3" s="3" t="s">
        <v>13</v>
      </c>
      <c r="C3" s="3" t="s">
        <v>18</v>
      </c>
      <c r="D3" s="3" t="s">
        <v>24</v>
      </c>
      <c r="E3" s="3" t="s">
        <v>32</v>
      </c>
      <c r="F3" s="3" t="s">
        <v>28</v>
      </c>
      <c r="G3" s="6">
        <v>45255</v>
      </c>
      <c r="H3" s="1">
        <f ca="1">DATEDIF(G3, TODAY(), "Y")</f>
        <v>1</v>
      </c>
    </row>
    <row r="4" spans="1:8">
      <c r="A4" s="3" t="s">
        <v>9</v>
      </c>
      <c r="B4" s="3" t="s">
        <v>14</v>
      </c>
      <c r="C4" s="3" t="s">
        <v>19</v>
      </c>
      <c r="D4" s="3" t="s">
        <v>25</v>
      </c>
      <c r="E4" s="3" t="s">
        <v>34</v>
      </c>
      <c r="F4" s="3" t="s">
        <v>29</v>
      </c>
      <c r="G4" s="6">
        <v>45672</v>
      </c>
      <c r="H4" s="3">
        <f ca="1">DATEDIF(G4, TODAY(), "Y")</f>
        <v>0</v>
      </c>
    </row>
    <row r="5" spans="1:8" ht="15.75" thickBot="1">
      <c r="A5" s="3" t="s">
        <v>10</v>
      </c>
      <c r="B5" s="3" t="s">
        <v>15</v>
      </c>
      <c r="C5" s="3" t="s">
        <v>20</v>
      </c>
      <c r="D5" s="3" t="s">
        <v>26</v>
      </c>
      <c r="E5" s="3" t="s">
        <v>33</v>
      </c>
      <c r="F5" s="3" t="s">
        <v>28</v>
      </c>
      <c r="G5" s="6">
        <v>44316</v>
      </c>
      <c r="H5" s="3">
        <f ca="1">DATEDIF(G5, TODAY(), "Y")</f>
        <v>4</v>
      </c>
    </row>
    <row r="6" spans="1:8" ht="15.75" thickBot="1">
      <c r="A6" s="3" t="s">
        <v>11</v>
      </c>
      <c r="B6" s="3" t="s">
        <v>16</v>
      </c>
      <c r="C6" s="3" t="s">
        <v>21</v>
      </c>
      <c r="D6" s="3" t="s">
        <v>27</v>
      </c>
      <c r="E6" s="3" t="s">
        <v>36</v>
      </c>
      <c r="F6" s="3" t="s">
        <v>30</v>
      </c>
      <c r="G6" s="6">
        <v>45453</v>
      </c>
      <c r="H6" s="4">
        <f ca="1">DATEDIF(G6, TODAY(), "Y")</f>
        <v>1</v>
      </c>
    </row>
    <row r="7" spans="1:8">
      <c r="A7" s="3" t="s">
        <v>37</v>
      </c>
      <c r="B7" s="3" t="s">
        <v>42</v>
      </c>
      <c r="C7" s="3" t="s">
        <v>47</v>
      </c>
      <c r="D7" s="3" t="s">
        <v>52</v>
      </c>
      <c r="E7" s="3" t="s">
        <v>32</v>
      </c>
      <c r="F7" s="3" t="s">
        <v>28</v>
      </c>
      <c r="G7" s="6">
        <v>44760</v>
      </c>
      <c r="H7" s="3">
        <f ca="1">DATEDIF(G7, TODAY(), "Y")</f>
        <v>3</v>
      </c>
    </row>
    <row r="8" spans="1:8">
      <c r="A8" s="3" t="s">
        <v>38</v>
      </c>
      <c r="B8" s="3" t="s">
        <v>43</v>
      </c>
      <c r="C8" s="3" t="s">
        <v>48</v>
      </c>
      <c r="D8" s="3" t="s">
        <v>53</v>
      </c>
      <c r="E8" s="3" t="s">
        <v>54</v>
      </c>
      <c r="F8" s="3" t="s">
        <v>29</v>
      </c>
      <c r="G8" s="6">
        <v>45689</v>
      </c>
      <c r="H8" s="3">
        <f ca="1">DATEDIF(G8, TODAY(), "Y")</f>
        <v>0</v>
      </c>
    </row>
    <row r="9" spans="1:8">
      <c r="A9" s="3" t="s">
        <v>39</v>
      </c>
      <c r="B9" s="3" t="s">
        <v>44</v>
      </c>
      <c r="C9" s="3" t="s">
        <v>49</v>
      </c>
      <c r="D9" s="3" t="s">
        <v>23</v>
      </c>
      <c r="E9" s="3" t="s">
        <v>35</v>
      </c>
      <c r="F9" s="3" t="s">
        <v>28</v>
      </c>
      <c r="G9" s="6">
        <v>43743</v>
      </c>
      <c r="H9" s="3">
        <f ca="1">DATEDIF(G9, TODAY(), "Y")</f>
        <v>6</v>
      </c>
    </row>
    <row r="10" spans="1:8">
      <c r="A10" s="3" t="s">
        <v>40</v>
      </c>
      <c r="B10" s="3" t="s">
        <v>45</v>
      </c>
      <c r="C10" s="3" t="s">
        <v>50</v>
      </c>
      <c r="D10" s="3" t="s">
        <v>25</v>
      </c>
      <c r="E10" s="3" t="s">
        <v>31</v>
      </c>
      <c r="F10" s="3" t="s">
        <v>30</v>
      </c>
      <c r="G10" s="6">
        <v>45007</v>
      </c>
      <c r="H10" s="3">
        <f ca="1">DATEDIF(G10, TODAY(), "Y")</f>
        <v>2</v>
      </c>
    </row>
    <row r="11" spans="1:8">
      <c r="A11" s="3" t="s">
        <v>41</v>
      </c>
      <c r="B11" s="3" t="s">
        <v>46</v>
      </c>
      <c r="C11" s="3" t="s">
        <v>51</v>
      </c>
      <c r="D11" s="3" t="s">
        <v>26</v>
      </c>
      <c r="E11" s="3" t="s">
        <v>34</v>
      </c>
      <c r="F11" s="3" t="s">
        <v>28</v>
      </c>
      <c r="G11" s="6">
        <v>45292</v>
      </c>
      <c r="H11" s="3">
        <f ca="1">DATEDIF(G11, TODAY(), "Y")</f>
        <v>1</v>
      </c>
    </row>
    <row r="12" spans="1:8">
      <c r="A12" s="3" t="s">
        <v>55</v>
      </c>
      <c r="B12" s="3" t="s">
        <v>58</v>
      </c>
      <c r="C12" s="3" t="s">
        <v>61</v>
      </c>
      <c r="D12" s="3" t="s">
        <v>53</v>
      </c>
      <c r="E12" s="3" t="s">
        <v>35</v>
      </c>
      <c r="F12" s="3" t="s">
        <v>28</v>
      </c>
      <c r="G12" s="6">
        <v>43641</v>
      </c>
      <c r="H12" s="3">
        <f ca="1">DATEDIF(G12, TODAY(), "Y")</f>
        <v>6</v>
      </c>
    </row>
    <row r="13" spans="1:8">
      <c r="A13" s="3" t="s">
        <v>56</v>
      </c>
      <c r="B13" s="3" t="s">
        <v>59</v>
      </c>
      <c r="C13" s="3" t="s">
        <v>62</v>
      </c>
      <c r="D13" s="3" t="s">
        <v>25</v>
      </c>
      <c r="E13" s="3" t="s">
        <v>33</v>
      </c>
      <c r="F13" s="3" t="s">
        <v>30</v>
      </c>
      <c r="G13" s="6">
        <v>45148</v>
      </c>
      <c r="H13" s="3">
        <f ca="1">DATEDIF(G13, TODAY(), "Y")</f>
        <v>2</v>
      </c>
    </row>
    <row r="14" spans="1:8">
      <c r="A14" s="3" t="s">
        <v>57</v>
      </c>
      <c r="B14" s="3" t="s">
        <v>60</v>
      </c>
      <c r="C14" s="3" t="s">
        <v>63</v>
      </c>
      <c r="D14" s="3" t="s">
        <v>22</v>
      </c>
      <c r="E14" s="3" t="s">
        <v>32</v>
      </c>
      <c r="F14" s="3" t="s">
        <v>30</v>
      </c>
      <c r="G14" s="6">
        <v>44570</v>
      </c>
      <c r="H14" s="3">
        <f ca="1">DATEDIF(G14, TODAY(), "Y")</f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2EBE-07D5-4EAB-B319-442C01FFA237}">
  <dimension ref="A1:K19"/>
  <sheetViews>
    <sheetView workbookViewId="0">
      <selection activeCell="L8" sqref="L8"/>
    </sheetView>
  </sheetViews>
  <sheetFormatPr defaultRowHeight="15"/>
  <cols>
    <col min="1" max="1" width="14.5703125" style="1" customWidth="1"/>
    <col min="2" max="2" width="18" customWidth="1"/>
    <col min="3" max="3" width="19.7109375" customWidth="1"/>
    <col min="4" max="4" width="20" customWidth="1"/>
    <col min="5" max="5" width="19" customWidth="1"/>
    <col min="7" max="7" width="13.140625" bestFit="1" customWidth="1"/>
    <col min="8" max="10" width="15.140625" bestFit="1" customWidth="1"/>
    <col min="11" max="11" width="27.28515625" bestFit="1" customWidth="1"/>
  </cols>
  <sheetData>
    <row r="1" spans="1:11">
      <c r="A1" s="1" t="s">
        <v>0</v>
      </c>
      <c r="B1" t="s">
        <v>64</v>
      </c>
      <c r="C1" t="s">
        <v>65</v>
      </c>
      <c r="D1" t="s">
        <v>66</v>
      </c>
      <c r="E1" t="s">
        <v>67</v>
      </c>
    </row>
    <row r="2" spans="1:11">
      <c r="A2" s="1" t="s">
        <v>7</v>
      </c>
      <c r="B2">
        <v>80</v>
      </c>
      <c r="C2">
        <v>85</v>
      </c>
      <c r="D2">
        <v>92</v>
      </c>
      <c r="E2" s="11">
        <f>AVERAGE(B2:D2)</f>
        <v>85.666666666666671</v>
      </c>
    </row>
    <row r="3" spans="1:11">
      <c r="A3" s="1" t="s">
        <v>8</v>
      </c>
      <c r="B3">
        <v>78</v>
      </c>
      <c r="C3">
        <v>81</v>
      </c>
      <c r="D3">
        <v>85</v>
      </c>
      <c r="E3" s="11">
        <f>AVERAGE(B3:D3)</f>
        <v>81.333333333333329</v>
      </c>
    </row>
    <row r="4" spans="1:11">
      <c r="A4" s="3" t="s">
        <v>9</v>
      </c>
      <c r="B4">
        <v>69</v>
      </c>
      <c r="C4">
        <v>82</v>
      </c>
      <c r="D4">
        <v>71</v>
      </c>
      <c r="E4" s="12">
        <f>AVERAGE(B4:D4)</f>
        <v>74</v>
      </c>
    </row>
    <row r="5" spans="1:11">
      <c r="A5" s="3" t="s">
        <v>10</v>
      </c>
      <c r="B5">
        <v>90</v>
      </c>
      <c r="C5">
        <v>91</v>
      </c>
      <c r="D5">
        <v>68</v>
      </c>
      <c r="E5" s="11">
        <f>AVERAGE(B5:D5)</f>
        <v>83</v>
      </c>
      <c r="G5" s="7" t="s">
        <v>69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s="3" t="s">
        <v>11</v>
      </c>
      <c r="B6">
        <v>71</v>
      </c>
      <c r="C6">
        <v>78</v>
      </c>
      <c r="D6">
        <v>72</v>
      </c>
      <c r="E6" s="12">
        <f>AVERAGE(B6:D6)</f>
        <v>73.666666666666671</v>
      </c>
      <c r="G6" s="8" t="s">
        <v>7</v>
      </c>
      <c r="H6" s="9">
        <v>80</v>
      </c>
      <c r="I6" s="9">
        <v>85</v>
      </c>
      <c r="J6" s="9">
        <v>92</v>
      </c>
      <c r="K6" s="9">
        <v>85.666666666666671</v>
      </c>
    </row>
    <row r="7" spans="1:11">
      <c r="A7" s="3" t="s">
        <v>37</v>
      </c>
      <c r="B7">
        <v>84</v>
      </c>
      <c r="C7">
        <v>88</v>
      </c>
      <c r="D7">
        <v>92</v>
      </c>
      <c r="E7" s="11">
        <f>AVERAGE(B7:D7)</f>
        <v>88</v>
      </c>
      <c r="G7" s="8" t="s">
        <v>8</v>
      </c>
      <c r="H7" s="9">
        <v>78</v>
      </c>
      <c r="I7" s="9">
        <v>81</v>
      </c>
      <c r="J7" s="9">
        <v>85</v>
      </c>
      <c r="K7" s="9">
        <v>81.333333333333329</v>
      </c>
    </row>
    <row r="8" spans="1:11">
      <c r="A8" s="1" t="s">
        <v>38</v>
      </c>
      <c r="B8">
        <v>92</v>
      </c>
      <c r="C8">
        <v>76</v>
      </c>
      <c r="D8">
        <v>71</v>
      </c>
      <c r="E8" s="13">
        <f>AVERAGE(B8:D8)</f>
        <v>79.666666666666671</v>
      </c>
      <c r="G8" s="8" t="s">
        <v>9</v>
      </c>
      <c r="H8" s="9">
        <v>69</v>
      </c>
      <c r="I8" s="9">
        <v>82</v>
      </c>
      <c r="J8" s="9">
        <v>71</v>
      </c>
      <c r="K8" s="9"/>
    </row>
    <row r="9" spans="1:11">
      <c r="A9" s="1" t="s">
        <v>39</v>
      </c>
      <c r="B9">
        <v>75</v>
      </c>
      <c r="C9">
        <v>79</v>
      </c>
      <c r="D9">
        <v>75</v>
      </c>
      <c r="E9" s="13">
        <f>AVERAGE(B9:D9)</f>
        <v>76.333333333333329</v>
      </c>
      <c r="G9" s="8" t="s">
        <v>10</v>
      </c>
      <c r="H9" s="9">
        <v>90</v>
      </c>
      <c r="I9" s="9">
        <v>91</v>
      </c>
      <c r="J9" s="9">
        <v>68</v>
      </c>
      <c r="K9" s="9"/>
    </row>
    <row r="10" spans="1:11">
      <c r="A10" s="3" t="s">
        <v>40</v>
      </c>
      <c r="B10">
        <v>84</v>
      </c>
      <c r="C10">
        <v>64</v>
      </c>
      <c r="D10">
        <v>81</v>
      </c>
      <c r="E10" s="13">
        <f>AVERAGE(B10:D10)</f>
        <v>76.333333333333329</v>
      </c>
      <c r="G10" s="8" t="s">
        <v>11</v>
      </c>
      <c r="H10" s="9">
        <v>71</v>
      </c>
      <c r="I10" s="9">
        <v>78</v>
      </c>
      <c r="J10" s="9">
        <v>72</v>
      </c>
      <c r="K10" s="9"/>
    </row>
    <row r="11" spans="1:11">
      <c r="A11" s="3" t="s">
        <v>41</v>
      </c>
      <c r="B11">
        <v>81</v>
      </c>
      <c r="C11">
        <v>86</v>
      </c>
      <c r="D11">
        <v>69</v>
      </c>
      <c r="E11" s="13">
        <f>AVERAGE(B11:D11)</f>
        <v>78.666666666666671</v>
      </c>
      <c r="G11" s="8" t="s">
        <v>37</v>
      </c>
      <c r="H11" s="9">
        <v>84</v>
      </c>
      <c r="I11" s="9">
        <v>88</v>
      </c>
      <c r="J11" s="9">
        <v>92</v>
      </c>
      <c r="K11" s="9"/>
    </row>
    <row r="12" spans="1:11">
      <c r="A12" s="3" t="s">
        <v>55</v>
      </c>
      <c r="B12">
        <v>73</v>
      </c>
      <c r="C12">
        <v>71</v>
      </c>
      <c r="D12">
        <v>64</v>
      </c>
      <c r="E12" s="12">
        <f>AVERAGE(B12:D12)</f>
        <v>69.333333333333329</v>
      </c>
      <c r="G12" s="8" t="s">
        <v>38</v>
      </c>
      <c r="H12" s="9">
        <v>92</v>
      </c>
      <c r="I12" s="9">
        <v>76</v>
      </c>
      <c r="J12" s="9">
        <v>71</v>
      </c>
      <c r="K12" s="9"/>
    </row>
    <row r="13" spans="1:11">
      <c r="A13" s="3" t="s">
        <v>56</v>
      </c>
      <c r="B13">
        <v>67</v>
      </c>
      <c r="C13">
        <v>70</v>
      </c>
      <c r="D13">
        <v>79</v>
      </c>
      <c r="E13" s="12">
        <f>AVERAGE(B13:D13)</f>
        <v>72</v>
      </c>
      <c r="G13" s="8" t="s">
        <v>39</v>
      </c>
      <c r="H13" s="9">
        <v>75</v>
      </c>
      <c r="I13" s="9">
        <v>79</v>
      </c>
      <c r="J13" s="9">
        <v>75</v>
      </c>
      <c r="K13" s="9"/>
    </row>
    <row r="14" spans="1:11">
      <c r="A14" s="3" t="s">
        <v>57</v>
      </c>
      <c r="B14">
        <v>72</v>
      </c>
      <c r="C14">
        <v>61</v>
      </c>
      <c r="D14">
        <v>91</v>
      </c>
      <c r="E14" s="13">
        <f>AVERAGE(B14:D14)</f>
        <v>74.666666666666671</v>
      </c>
      <c r="G14" s="8" t="s">
        <v>40</v>
      </c>
      <c r="H14" s="9">
        <v>84</v>
      </c>
      <c r="I14" s="9">
        <v>64</v>
      </c>
      <c r="J14" s="9">
        <v>81</v>
      </c>
      <c r="K14" s="9"/>
    </row>
    <row r="15" spans="1:11">
      <c r="G15" s="8" t="s">
        <v>41</v>
      </c>
      <c r="H15" s="9">
        <v>81</v>
      </c>
      <c r="I15" s="9">
        <v>86</v>
      </c>
      <c r="J15" s="9">
        <v>69</v>
      </c>
      <c r="K15" s="9"/>
    </row>
    <row r="16" spans="1:11">
      <c r="G16" s="8" t="s">
        <v>55</v>
      </c>
      <c r="H16" s="9">
        <v>73</v>
      </c>
      <c r="I16" s="9">
        <v>71</v>
      </c>
      <c r="J16" s="9">
        <v>64</v>
      </c>
      <c r="K16" s="9"/>
    </row>
    <row r="17" spans="7:11">
      <c r="G17" s="8" t="s">
        <v>56</v>
      </c>
      <c r="H17" s="9">
        <v>67</v>
      </c>
      <c r="I17" s="9">
        <v>70</v>
      </c>
      <c r="J17" s="9">
        <v>79</v>
      </c>
      <c r="K17" s="9"/>
    </row>
    <row r="18" spans="7:11">
      <c r="G18" s="8" t="s">
        <v>57</v>
      </c>
      <c r="H18" s="9">
        <v>72</v>
      </c>
      <c r="I18" s="9">
        <v>61</v>
      </c>
      <c r="J18" s="9">
        <v>91</v>
      </c>
      <c r="K18" s="9"/>
    </row>
    <row r="19" spans="7:11">
      <c r="G19" s="8" t="s">
        <v>70</v>
      </c>
      <c r="H19" s="9">
        <v>1016</v>
      </c>
      <c r="I19" s="9">
        <v>1012</v>
      </c>
      <c r="J19" s="9">
        <v>1010</v>
      </c>
      <c r="K19" s="9">
        <v>167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2672-D671-437B-94D5-418AA0EAB419}">
  <dimension ref="A1:F14"/>
  <sheetViews>
    <sheetView workbookViewId="0">
      <selection activeCell="G17" sqref="G17"/>
    </sheetView>
  </sheetViews>
  <sheetFormatPr defaultRowHeight="15"/>
  <cols>
    <col min="1" max="1" width="16.5703125" customWidth="1"/>
    <col min="2" max="2" width="19.85546875" customWidth="1"/>
    <col min="3" max="3" width="22.42578125" customWidth="1"/>
    <col min="4" max="4" width="16.7109375" customWidth="1"/>
    <col min="5" max="5" width="17.85546875" customWidth="1"/>
    <col min="6" max="6" width="29.7109375" customWidth="1"/>
  </cols>
  <sheetData>
    <row r="1" spans="1:6">
      <c r="A1" s="1" t="s">
        <v>0</v>
      </c>
      <c r="B1" t="s">
        <v>75</v>
      </c>
      <c r="C1" t="s">
        <v>76</v>
      </c>
      <c r="D1" t="s">
        <v>77</v>
      </c>
      <c r="E1" t="s">
        <v>78</v>
      </c>
    </row>
    <row r="2" spans="1:6">
      <c r="A2" s="1" t="s">
        <v>7</v>
      </c>
      <c r="B2">
        <v>21</v>
      </c>
      <c r="C2">
        <v>21</v>
      </c>
      <c r="D2">
        <v>1</v>
      </c>
      <c r="E2" s="11" cm="1">
        <f t="array" ref="E2:F2">B2:C2/(B2:C2+D2)</f>
        <v>0.95454545454545459</v>
      </c>
      <c r="F2" s="10">
        <v>0.95454545454545459</v>
      </c>
    </row>
    <row r="3" spans="1:6">
      <c r="A3" s="1" t="s">
        <v>8</v>
      </c>
      <c r="B3">
        <v>22</v>
      </c>
      <c r="C3">
        <v>17</v>
      </c>
      <c r="D3">
        <v>2</v>
      </c>
      <c r="E3" s="11" cm="1">
        <f t="array" ref="E3:F3">B3:C3/(B3:C3+D3)</f>
        <v>0.91666666666666663</v>
      </c>
      <c r="F3">
        <v>0.89473684210526316</v>
      </c>
    </row>
    <row r="4" spans="1:6">
      <c r="A4" s="3" t="s">
        <v>9</v>
      </c>
      <c r="B4">
        <v>22</v>
      </c>
      <c r="C4">
        <v>20</v>
      </c>
      <c r="D4">
        <v>0</v>
      </c>
      <c r="E4" s="11" cm="1">
        <f t="array" ref="E4:F4">B4:C4/(B4:C4+D4)</f>
        <v>1</v>
      </c>
      <c r="F4">
        <v>1</v>
      </c>
    </row>
    <row r="5" spans="1:6">
      <c r="A5" s="3" t="s">
        <v>10</v>
      </c>
      <c r="B5">
        <v>21</v>
      </c>
      <c r="C5">
        <v>22</v>
      </c>
      <c r="D5">
        <v>0</v>
      </c>
      <c r="E5" s="11" cm="1">
        <f t="array" ref="E5:F5">B5:B5/(B5:C5+D5)</f>
        <v>1</v>
      </c>
      <c r="F5">
        <v>0.95454545454545459</v>
      </c>
    </row>
    <row r="6" spans="1:6">
      <c r="A6" s="3" t="s">
        <v>11</v>
      </c>
      <c r="B6">
        <v>20</v>
      </c>
      <c r="C6">
        <v>18</v>
      </c>
      <c r="D6">
        <v>6</v>
      </c>
      <c r="E6" s="11" cm="1">
        <f t="array" ref="E6:F6">B6:C6/(B6:C6+D6)</f>
        <v>0.76923076923076927</v>
      </c>
      <c r="F6">
        <v>0.75</v>
      </c>
    </row>
    <row r="7" spans="1:6">
      <c r="A7" s="3" t="s">
        <v>37</v>
      </c>
      <c r="B7">
        <v>21</v>
      </c>
      <c r="C7">
        <v>18</v>
      </c>
      <c r="D7">
        <v>2</v>
      </c>
      <c r="E7" s="12" cm="1">
        <f t="array" ref="E7:F7">B7:C7/(B7:C7+D7)</f>
        <v>0.91304347826086951</v>
      </c>
      <c r="F7">
        <v>0.9</v>
      </c>
    </row>
    <row r="8" spans="1:6">
      <c r="A8" s="1" t="s">
        <v>38</v>
      </c>
      <c r="B8">
        <v>22</v>
      </c>
      <c r="C8">
        <v>20</v>
      </c>
      <c r="D8">
        <v>1</v>
      </c>
      <c r="E8" s="11" cm="1">
        <f t="array" ref="E8:F8">B8:C8/(B8:C8+D8)</f>
        <v>0.95652173913043481</v>
      </c>
      <c r="F8">
        <v>0.95238095238095233</v>
      </c>
    </row>
    <row r="9" spans="1:6">
      <c r="A9" s="1" t="s">
        <v>39</v>
      </c>
      <c r="B9">
        <v>22</v>
      </c>
      <c r="C9">
        <v>19</v>
      </c>
      <c r="D9">
        <v>1</v>
      </c>
      <c r="E9" s="11" cm="1">
        <f t="array" ref="E9:F9">B9:C9/(B9:C9+D9)</f>
        <v>0.95652173913043481</v>
      </c>
      <c r="F9">
        <v>0.95</v>
      </c>
    </row>
    <row r="10" spans="1:6">
      <c r="A10" s="3" t="s">
        <v>40</v>
      </c>
      <c r="B10">
        <v>20</v>
      </c>
      <c r="C10">
        <v>20</v>
      </c>
      <c r="D10">
        <v>4</v>
      </c>
      <c r="E10" s="12" cm="1">
        <f t="array" ref="E10:F10">B10:C10/(B10:C10+D10)</f>
        <v>0.83333333333333337</v>
      </c>
      <c r="F10">
        <v>0.83333333333333337</v>
      </c>
    </row>
    <row r="11" spans="1:6">
      <c r="A11" s="3" t="s">
        <v>41</v>
      </c>
      <c r="B11">
        <v>19</v>
      </c>
      <c r="C11">
        <v>19</v>
      </c>
      <c r="D11">
        <v>4</v>
      </c>
      <c r="E11" s="12" cm="1">
        <f t="array" ref="E11:F11">B11:B11/(B11:C11+D11)</f>
        <v>0.82608695652173914</v>
      </c>
      <c r="F11">
        <v>0.82608695652173914</v>
      </c>
    </row>
    <row r="12" spans="1:6">
      <c r="A12" s="3" t="s">
        <v>55</v>
      </c>
      <c r="B12">
        <v>22</v>
      </c>
      <c r="C12">
        <v>19</v>
      </c>
      <c r="D12">
        <v>3</v>
      </c>
      <c r="E12" s="11" cm="1">
        <f t="array" ref="E12:F12">B12:B12/(B12:C12+D12)</f>
        <v>0.88</v>
      </c>
      <c r="F12">
        <v>1</v>
      </c>
    </row>
    <row r="13" spans="1:6">
      <c r="A13" s="3" t="s">
        <v>56</v>
      </c>
      <c r="B13">
        <v>20</v>
      </c>
      <c r="C13">
        <v>18</v>
      </c>
      <c r="D13">
        <v>1</v>
      </c>
      <c r="E13" s="11" cm="1">
        <f t="array" ref="E13:F13">B13:C13/(B13:C13+D13)</f>
        <v>0.95238095238095233</v>
      </c>
      <c r="F13">
        <v>0.94736842105263153</v>
      </c>
    </row>
    <row r="14" spans="1:6">
      <c r="A14" s="3" t="s">
        <v>57</v>
      </c>
      <c r="B14">
        <v>21</v>
      </c>
      <c r="C14">
        <v>20</v>
      </c>
      <c r="D14">
        <v>0</v>
      </c>
      <c r="E14" s="11" cm="1">
        <f t="array" ref="E14:F14">B14:C14/(B14:C14+D14)</f>
        <v>1</v>
      </c>
      <c r="F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E58D-EB1C-457E-9EF5-BF8C9C15A675}">
  <dimension ref="A1"/>
  <sheetViews>
    <sheetView tabSelected="1" workbookViewId="0">
      <selection activeCell="A2" sqref="A2"/>
    </sheetView>
  </sheetViews>
  <sheetFormatPr defaultRowHeight="15"/>
  <cols>
    <col min="1" max="1" width="44" customWidth="1"/>
  </cols>
  <sheetData>
    <row r="1" spans="1:1" ht="21">
      <c r="A1" s="1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CL1-13</dc:creator>
  <cp:lastModifiedBy>CL1-13</cp:lastModifiedBy>
  <dcterms:created xsi:type="dcterms:W3CDTF">2025-11-14T23:22:00Z</dcterms:created>
  <dcterms:modified xsi:type="dcterms:W3CDTF">2025-11-15T01:06:37Z</dcterms:modified>
</cp:coreProperties>
</file>