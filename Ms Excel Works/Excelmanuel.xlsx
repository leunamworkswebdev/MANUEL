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-12\Desktop\"/>
    </mc:Choice>
  </mc:AlternateContent>
  <xr:revisionPtr revIDLastSave="0" documentId="8_{B79156D4-B4EE-40BF-B902-6C4A004EF1B9}" xr6:coauthVersionLast="47" xr6:coauthVersionMax="47" xr10:uidLastSave="{00000000-0000-0000-0000-000000000000}"/>
  <bookViews>
    <workbookView xWindow="-120" yWindow="-120" windowWidth="29040" windowHeight="15720" xr2:uid="{706B4A0B-BCD0-4B0B-8E75-5EA6BBC45EB1}"/>
  </bookViews>
  <sheets>
    <sheet name=" Performance_Q1" sheetId="5" r:id="rId1"/>
    <sheet name=" Bonus_Tier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6" i="5"/>
  <c r="I7" i="5"/>
  <c r="I8" i="5"/>
  <c r="I9" i="5"/>
  <c r="I11" i="5"/>
  <c r="I12" i="5"/>
  <c r="I13" i="5"/>
  <c r="I15" i="5"/>
  <c r="I16" i="5"/>
  <c r="I17" i="5"/>
  <c r="I18" i="5"/>
  <c r="I20" i="5"/>
  <c r="I21" i="5"/>
  <c r="H3" i="5"/>
  <c r="H4" i="5"/>
  <c r="H6" i="5"/>
  <c r="H7" i="5"/>
  <c r="H8" i="5"/>
  <c r="H9" i="5"/>
  <c r="H11" i="5"/>
  <c r="H12" i="5"/>
  <c r="H13" i="5"/>
  <c r="H15" i="5"/>
  <c r="H16" i="5"/>
  <c r="H17" i="5"/>
  <c r="H18" i="5"/>
  <c r="H20" i="5"/>
  <c r="H21" i="5"/>
  <c r="L5" i="5"/>
  <c r="G3" i="5"/>
  <c r="G4" i="5"/>
  <c r="G5" i="5"/>
  <c r="H5" i="5" s="1"/>
  <c r="I5" i="5" s="1"/>
  <c r="G6" i="5"/>
  <c r="G7" i="5"/>
  <c r="G8" i="5"/>
  <c r="G9" i="5"/>
  <c r="G11" i="5"/>
  <c r="G12" i="5"/>
  <c r="G13" i="5"/>
  <c r="G15" i="5"/>
  <c r="G16" i="5"/>
  <c r="G17" i="5"/>
  <c r="G18" i="5"/>
  <c r="G20" i="5"/>
  <c r="G21" i="5"/>
  <c r="F4" i="5"/>
  <c r="F3" i="5"/>
  <c r="F5" i="5"/>
  <c r="F6" i="5"/>
  <c r="F7" i="5"/>
  <c r="F8" i="5"/>
  <c r="F9" i="5"/>
  <c r="F10" i="5"/>
  <c r="G10" i="5" s="1"/>
  <c r="H10" i="5" s="1"/>
  <c r="I10" i="5" s="1"/>
  <c r="F11" i="5"/>
  <c r="F12" i="5"/>
  <c r="F13" i="5"/>
  <c r="F14" i="5"/>
  <c r="G14" i="5" s="1"/>
  <c r="H14" i="5" s="1"/>
  <c r="I14" i="5" s="1"/>
  <c r="F15" i="5"/>
  <c r="F16" i="5"/>
  <c r="F17" i="5"/>
  <c r="F18" i="5"/>
  <c r="F19" i="5"/>
  <c r="G19" i="5" s="1"/>
  <c r="H19" i="5" s="1"/>
  <c r="I19" i="5" s="1"/>
  <c r="F20" i="5"/>
  <c r="F21" i="5"/>
  <c r="F2" i="5"/>
  <c r="G2" i="5" s="1"/>
  <c r="H2" i="5" s="1"/>
  <c r="I2" i="5" s="1"/>
  <c r="L3" i="5" l="1"/>
  <c r="L2" i="5"/>
  <c r="L4" i="5"/>
</calcChain>
</file>

<file path=xl/sharedStrings.xml><?xml version="1.0" encoding="utf-8"?>
<sst xmlns="http://schemas.openxmlformats.org/spreadsheetml/2006/main" count="61" uniqueCount="44">
  <si>
    <t>Employee ID</t>
  </si>
  <si>
    <t>Department</t>
  </si>
  <si>
    <t>Metric 1: Sales Volume (Units)</t>
  </si>
  <si>
    <t>Metric 2: Customer Satisfaction (Score)</t>
  </si>
  <si>
    <t>Metric 3: Project Completion (%)</t>
  </si>
  <si>
    <t>Bonus Percentage</t>
  </si>
  <si>
    <t>Rating</t>
  </si>
  <si>
    <t>Bonus %</t>
  </si>
  <si>
    <t>Excellent</t>
  </si>
  <si>
    <t>Good</t>
  </si>
  <si>
    <t>Needs Improvement</t>
  </si>
  <si>
    <t>Below Expectations</t>
  </si>
  <si>
    <t>Overall Team Average</t>
  </si>
  <si>
    <t>Highest Performance Score</t>
  </si>
  <si>
    <t>Lowest Performance Score</t>
  </si>
  <si>
    <t>Total Number of Records</t>
  </si>
  <si>
    <t>Sales</t>
  </si>
  <si>
    <t>Marketing</t>
  </si>
  <si>
    <t>Operations</t>
  </si>
  <si>
    <t xml:space="preserve">Performance Rating </t>
  </si>
  <si>
    <t xml:space="preserve">Quarterly Bonus ($) </t>
  </si>
  <si>
    <t xml:space="preserve">Average Performance Score </t>
  </si>
  <si>
    <t>Column1</t>
  </si>
  <si>
    <t>Column2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</si>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</sst>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$-409]* #,##0.00_ ;_-[$$-409]* \-#,##0.00\ ;_-[$$-409]* &quot;-&quot;??_ ;_-@_ 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0"/>
      <color rgb="FF444746"/>
      <name val="Google Sans Text"/>
      <family val="2"/>
    </font>
    <font>
      <sz val="10"/>
      <color theme="0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 wrapText="1" indent="1" readingOrder="1"/>
    </xf>
    <xf numFmtId="2" fontId="0" fillId="0" borderId="0" xfId="0" applyNumberFormat="1"/>
    <xf numFmtId="9" fontId="2" fillId="0" borderId="0" xfId="0" applyNumberFormat="1" applyFont="1" applyAlignment="1">
      <alignment horizontal="right" vertical="center" wrapText="1" indent="1" readingOrder="1"/>
    </xf>
    <xf numFmtId="2" fontId="2" fillId="0" borderId="0" xfId="0" applyNumberFormat="1" applyFont="1" applyAlignment="1">
      <alignment horizontal="right" vertical="center" wrapText="1" indent="1" readingOrder="1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right" vertical="center" wrapText="1" indent="1" readingOrder="1"/>
    </xf>
    <xf numFmtId="2" fontId="6" fillId="0" borderId="1" xfId="0" applyNumberFormat="1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49" fontId="4" fillId="0" borderId="0" xfId="0" applyNumberFormat="1" applyFont="1" applyAlignment="1">
      <alignment horizontal="center" vertical="center" wrapText="1" readingOrder="1"/>
    </xf>
    <xf numFmtId="49" fontId="2" fillId="0" borderId="0" xfId="0" applyNumberFormat="1" applyFont="1" applyAlignment="1">
      <alignment horizontal="right" vertical="center" wrapText="1" indent="1" readingOrder="1"/>
    </xf>
    <xf numFmtId="49" fontId="0" fillId="0" borderId="0" xfId="0" applyNumberFormat="1"/>
    <xf numFmtId="49" fontId="3" fillId="0" borderId="0" xfId="0" applyNumberFormat="1" applyFont="1" applyAlignment="1">
      <alignment horizontal="right" vertical="center" wrapText="1" indent="1" readingOrder="1"/>
    </xf>
    <xf numFmtId="164" fontId="2" fillId="0" borderId="0" xfId="0" applyNumberFormat="1" applyFont="1" applyAlignment="1">
      <alignment horizontal="right" vertical="center" wrapText="1" indent="1" readingOrder="1"/>
    </xf>
    <xf numFmtId="165" fontId="2" fillId="0" borderId="0" xfId="0" applyNumberFormat="1" applyFont="1" applyAlignment="1">
      <alignment horizontal="right" vertical="center" wrapText="1" indent="1" readingOrder="1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right" vertical="center" wrapText="1" indent="1" readingOrder="1"/>
    </xf>
    <xf numFmtId="164" fontId="3" fillId="2" borderId="3" xfId="0" applyNumberFormat="1" applyFont="1" applyFill="1" applyBorder="1" applyAlignment="1">
      <alignment horizontal="right" vertical="center" wrapText="1" indent="1" readingOrder="1"/>
    </xf>
    <xf numFmtId="10" fontId="3" fillId="2" borderId="3" xfId="0" applyNumberFormat="1" applyFont="1" applyFill="1" applyBorder="1" applyAlignment="1">
      <alignment horizontal="right" vertical="center" wrapText="1" indent="1" readingOrder="1"/>
    </xf>
    <xf numFmtId="0" fontId="3" fillId="2" borderId="6" xfId="0" applyFont="1" applyFill="1" applyBorder="1" applyAlignment="1">
      <alignment horizontal="right" vertical="center" wrapText="1" indent="1" readingOrder="1"/>
    </xf>
    <xf numFmtId="10" fontId="3" fillId="2" borderId="7" xfId="0" applyNumberFormat="1" applyFont="1" applyFill="1" applyBorder="1" applyAlignment="1">
      <alignment horizontal="right" vertical="center" wrapText="1" indent="1" readingOrder="1"/>
    </xf>
    <xf numFmtId="49" fontId="4" fillId="3" borderId="0" xfId="0" applyNumberFormat="1" applyFont="1" applyFill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2" fontId="4" fillId="3" borderId="0" xfId="0" applyNumberFormat="1" applyFont="1" applyFill="1" applyAlignment="1">
      <alignment horizontal="center" vertical="center" wrapText="1" readingOrder="1"/>
    </xf>
    <xf numFmtId="165" fontId="4" fillId="3" borderId="0" xfId="0" applyNumberFormat="1" applyFont="1" applyFill="1" applyAlignment="1">
      <alignment horizontal="center" vertical="center" wrapText="1" readingOrder="1"/>
    </xf>
    <xf numFmtId="2" fontId="7" fillId="3" borderId="0" xfId="0" applyNumberFormat="1" applyFont="1" applyFill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right" vertical="center" textRotation="0" wrapText="1" indent="1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1" indent="1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color theme="0"/>
      </font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5" formatCode="_-[$$-409]* #,##0.00_ ;_-[$$-409]* \-#,##0.00\ ;_-[$$-409]* &quot;-&quot;??_ ;_-@_ "/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30" formatCode="@"/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CB269-B776-48DB-BC35-CD7A74834606}" name="Table1" displayName="Table1" ref="A1:I21" totalsRowShown="0" headerRowDxfId="23" dataDxfId="22">
  <tableColumns count="9">
    <tableColumn id="1" xr3:uid="{4741C702-60C4-4C18-B0B5-16DED858FEA3}" name="Employee ID" dataDxfId="21"/>
    <tableColumn id="2" xr3:uid="{BFA5C93D-98F4-4373-88CA-BC7B725D4645}" name="Department" dataDxfId="20"/>
    <tableColumn id="3" xr3:uid="{F944166C-B131-4276-B368-2F518AF03376}" name="Metric 1: Sales Volume (Units)" dataDxfId="19"/>
    <tableColumn id="4" xr3:uid="{FCEACEC2-A3CE-4C5B-9449-78F62D7DD8D3}" name="Metric 2: Customer Satisfaction (Score)" dataDxfId="18"/>
    <tableColumn id="5" xr3:uid="{FA26C747-84FE-4AE2-A949-CF63FAB42545}" name="Metric 3: Project Completion (%)" dataDxfId="17"/>
    <tableColumn id="6" xr3:uid="{32FE9123-1EC0-4643-9A15-86928693A9DB}" name="Average Performance Score " dataDxfId="16">
      <calculatedColumnFormula>AVERAGE(C2:E2)</calculatedColumnFormula>
    </tableColumn>
    <tableColumn id="7" xr3:uid="{E0310266-C2DE-428C-B08F-5852A515A815}" name="Performance Rating " dataDxfId="15">
      <calculatedColumnFormula>IF(F2&gt;=85, "Excellent", IF(F2&gt;=70, "Good", IF(F2&gt;=50, "Needs Improvement", "Below Expectations")))</calculatedColumnFormula>
    </tableColumn>
    <tableColumn id="8" xr3:uid="{2B104C04-F309-4AAE-9D21-CA7CF0518D73}" name="Bonus Percentage" dataDxfId="14">
      <calculatedColumnFormula>VLOOKUP(G2,Table2[], 2, FALSE)</calculatedColumnFormula>
    </tableColumn>
    <tableColumn id="9" xr3:uid="{669F5AFA-44F4-45F1-8794-9A268D5DAFAF}" name="Quarterly Bonus ($) " dataDxfId="13">
      <calculatedColumnFormula>12000*H2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27A4D5-47C1-4EB2-AD19-FA65D6E073C8}" name="Table4" displayName="Table4" ref="K1:L5" totalsRowShown="0" headerRowDxfId="12" tableBorderDxfId="11">
  <tableColumns count="2">
    <tableColumn id="1" xr3:uid="{90928E46-6B91-4D3E-9763-41D6ECBB5DCA}" name="Column1" dataDxfId="10"/>
    <tableColumn id="2" xr3:uid="{D4B25EFB-3D67-430B-A509-3F443FDAF069}" name="Column2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8EDD1-8F09-44C3-9038-7DA9100432C2}" name="Table2" displayName="Table2" ref="A1:B5" totalsRowShown="0" headerRowDxfId="8" dataDxfId="6" headerRowBorderDxfId="7" tableBorderDxfId="5" totalsRowBorderDxfId="4">
  <tableColumns count="2">
    <tableColumn id="1" xr3:uid="{90F3DAD9-7F02-441C-90D1-24CE96B3DF06}" name="Rating" dataDxfId="3"/>
    <tableColumn id="2" xr3:uid="{95B12F1A-8A97-4D72-A4D5-E52B9F552B90}" name="Bonus %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A7F4-D873-40E5-ADCF-B40D3F30DE03}">
  <dimension ref="A1:L27"/>
  <sheetViews>
    <sheetView tabSelected="1" workbookViewId="0">
      <selection activeCell="A5" sqref="A5"/>
    </sheetView>
  </sheetViews>
  <sheetFormatPr defaultRowHeight="15"/>
  <cols>
    <col min="1" max="1" width="25.7109375" style="16" customWidth="1"/>
    <col min="2" max="5" width="25.7109375" customWidth="1"/>
    <col min="6" max="6" width="25.7109375" style="2" customWidth="1"/>
    <col min="7" max="8" width="25.7109375" customWidth="1"/>
    <col min="9" max="9" width="25.7109375" style="20" customWidth="1"/>
    <col min="11" max="12" width="15.7109375" customWidth="1"/>
  </cols>
  <sheetData>
    <row r="1" spans="1:12" s="5" customFormat="1" ht="29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21</v>
      </c>
      <c r="G1" s="28" t="s">
        <v>19</v>
      </c>
      <c r="H1" s="28" t="s">
        <v>5</v>
      </c>
      <c r="I1" s="30" t="s">
        <v>20</v>
      </c>
      <c r="K1" s="28" t="s">
        <v>22</v>
      </c>
      <c r="L1" s="31" t="s">
        <v>23</v>
      </c>
    </row>
    <row r="2" spans="1:12" ht="30" customHeight="1">
      <c r="A2" s="15" t="s">
        <v>24</v>
      </c>
      <c r="B2" s="1" t="s">
        <v>17</v>
      </c>
      <c r="C2" s="1">
        <v>390</v>
      </c>
      <c r="D2" s="1">
        <v>9.1999999999999993</v>
      </c>
      <c r="E2" s="3">
        <v>0.95</v>
      </c>
      <c r="F2" s="4">
        <f>AVERAGE(C2:E2)</f>
        <v>133.38333333333333</v>
      </c>
      <c r="G2" s="1" t="str">
        <f t="shared" ref="G2:G21" si="0">IF(F2&gt;=85, "Excellent", IF(F2&gt;=70, "Good", IF(F2&gt;=50, "Needs Improvement", "Below Expectations")))</f>
        <v>Excellent</v>
      </c>
      <c r="H2" s="18">
        <f>VLOOKUP(G2,Table2[], 2, FALSE)</f>
        <v>0.05</v>
      </c>
      <c r="I2" s="19">
        <f>12000*H2</f>
        <v>600</v>
      </c>
      <c r="K2" s="11" t="s">
        <v>12</v>
      </c>
      <c r="L2" s="12">
        <f>AVERAGE(F2:F21)</f>
        <v>81.74166666666666</v>
      </c>
    </row>
    <row r="3" spans="1:12" ht="30" customHeight="1">
      <c r="A3" s="15" t="s">
        <v>25</v>
      </c>
      <c r="B3" s="1" t="s">
        <v>16</v>
      </c>
      <c r="C3" s="1">
        <v>280</v>
      </c>
      <c r="D3" s="1">
        <v>8.5</v>
      </c>
      <c r="E3" s="3">
        <v>0.88</v>
      </c>
      <c r="F3" s="4">
        <f t="shared" ref="F3:F21" si="1">AVERAGE(C3:E3)</f>
        <v>96.46</v>
      </c>
      <c r="G3" s="1" t="str">
        <f t="shared" si="0"/>
        <v>Excellent</v>
      </c>
      <c r="H3" s="18">
        <f>VLOOKUP(G3,Table2[], 2, FALSE)</f>
        <v>0.05</v>
      </c>
      <c r="I3" s="19">
        <f t="shared" ref="I3:I21" si="2">12000*H3</f>
        <v>600</v>
      </c>
      <c r="K3" s="11" t="s">
        <v>13</v>
      </c>
      <c r="L3" s="12">
        <f>MAX(F2:F21)</f>
        <v>136.96666666666667</v>
      </c>
    </row>
    <row r="4" spans="1:12" ht="30" customHeight="1">
      <c r="A4" s="15" t="s">
        <v>26</v>
      </c>
      <c r="B4" s="1" t="s">
        <v>18</v>
      </c>
      <c r="C4" s="1">
        <v>210</v>
      </c>
      <c r="D4" s="1">
        <v>7.8</v>
      </c>
      <c r="E4" s="3">
        <v>0.8</v>
      </c>
      <c r="F4" s="4">
        <f>AVERAGE(C4:E4)</f>
        <v>72.866666666666674</v>
      </c>
      <c r="G4" s="1" t="str">
        <f t="shared" si="0"/>
        <v>Good</v>
      </c>
      <c r="H4" s="18">
        <f>VLOOKUP(G4,Table2[], 2, FALSE)</f>
        <v>3.5000000000000003E-2</v>
      </c>
      <c r="I4" s="19">
        <f t="shared" si="2"/>
        <v>420.00000000000006</v>
      </c>
      <c r="K4" s="11" t="s">
        <v>14</v>
      </c>
      <c r="L4" s="12">
        <f>MIN(F2:F21)</f>
        <v>13.926666666666668</v>
      </c>
    </row>
    <row r="5" spans="1:12" ht="30" customHeight="1">
      <c r="A5" s="15" t="s">
        <v>27</v>
      </c>
      <c r="B5" s="1" t="s">
        <v>16</v>
      </c>
      <c r="C5" s="1">
        <v>45</v>
      </c>
      <c r="D5" s="1">
        <v>9.5</v>
      </c>
      <c r="E5" s="3">
        <v>1</v>
      </c>
      <c r="F5" s="4">
        <f t="shared" si="1"/>
        <v>18.5</v>
      </c>
      <c r="G5" s="1" t="str">
        <f t="shared" si="0"/>
        <v>Below Expectations</v>
      </c>
      <c r="H5" s="18">
        <f>VLOOKUP(G5,Table2[], 2, FALSE)</f>
        <v>0</v>
      </c>
      <c r="I5" s="19">
        <f t="shared" si="2"/>
        <v>0</v>
      </c>
      <c r="K5" s="11" t="s">
        <v>15</v>
      </c>
      <c r="L5" s="13">
        <f>COUNTA(A2:A21)</f>
        <v>20</v>
      </c>
    </row>
    <row r="6" spans="1:12" ht="30" customHeight="1">
      <c r="A6" s="15" t="s">
        <v>28</v>
      </c>
      <c r="B6" s="1" t="s">
        <v>17</v>
      </c>
      <c r="C6" s="1">
        <v>180</v>
      </c>
      <c r="D6" s="1">
        <v>7.2</v>
      </c>
      <c r="E6" s="3">
        <v>0.75</v>
      </c>
      <c r="F6" s="4">
        <f t="shared" si="1"/>
        <v>62.65</v>
      </c>
      <c r="G6" s="1" t="str">
        <f t="shared" si="0"/>
        <v>Needs Improvement</v>
      </c>
      <c r="H6" s="18">
        <f>VLOOKUP(G6,Table2[], 2, FALSE)</f>
        <v>0.01</v>
      </c>
      <c r="I6" s="19">
        <f t="shared" si="2"/>
        <v>120</v>
      </c>
    </row>
    <row r="7" spans="1:12" ht="30" customHeight="1">
      <c r="A7" s="15" t="s">
        <v>29</v>
      </c>
      <c r="B7" s="1" t="s">
        <v>18</v>
      </c>
      <c r="C7" s="1">
        <v>310</v>
      </c>
      <c r="D7" s="1">
        <v>8.9</v>
      </c>
      <c r="E7" s="3">
        <v>0.92</v>
      </c>
      <c r="F7" s="4">
        <f t="shared" si="1"/>
        <v>106.60666666666667</v>
      </c>
      <c r="G7" s="1" t="str">
        <f t="shared" si="0"/>
        <v>Excellent</v>
      </c>
      <c r="H7" s="18">
        <f>VLOOKUP(G7,Table2[], 2, FALSE)</f>
        <v>0.05</v>
      </c>
      <c r="I7" s="19">
        <f t="shared" si="2"/>
        <v>600</v>
      </c>
    </row>
    <row r="8" spans="1:12" ht="30" customHeight="1">
      <c r="A8" s="15" t="s">
        <v>30</v>
      </c>
      <c r="B8" s="1" t="s">
        <v>16</v>
      </c>
      <c r="C8" s="1">
        <v>250</v>
      </c>
      <c r="D8" s="1">
        <v>8.1</v>
      </c>
      <c r="E8" s="3">
        <v>0.85</v>
      </c>
      <c r="F8" s="4">
        <f t="shared" si="1"/>
        <v>86.316666666666677</v>
      </c>
      <c r="G8" s="1" t="str">
        <f t="shared" si="0"/>
        <v>Excellent</v>
      </c>
      <c r="H8" s="18">
        <f>VLOOKUP(G8,Table2[], 2, FALSE)</f>
        <v>0.05</v>
      </c>
      <c r="I8" s="19">
        <f t="shared" si="2"/>
        <v>600</v>
      </c>
    </row>
    <row r="9" spans="1:12" ht="30" customHeight="1">
      <c r="A9" s="15" t="s">
        <v>31</v>
      </c>
      <c r="B9" s="1" t="s">
        <v>17</v>
      </c>
      <c r="C9" s="1">
        <v>370</v>
      </c>
      <c r="D9" s="1">
        <v>9.1</v>
      </c>
      <c r="E9" s="3">
        <v>0.96</v>
      </c>
      <c r="F9" s="4">
        <f t="shared" si="1"/>
        <v>126.68666666666667</v>
      </c>
      <c r="G9" s="1" t="str">
        <f t="shared" si="0"/>
        <v>Excellent</v>
      </c>
      <c r="H9" s="18">
        <f>VLOOKUP(G9,Table2[], 2, FALSE)</f>
        <v>0.05</v>
      </c>
      <c r="I9" s="19">
        <f t="shared" si="2"/>
        <v>600</v>
      </c>
    </row>
    <row r="10" spans="1:12" ht="30" customHeight="1">
      <c r="A10" s="15" t="s">
        <v>32</v>
      </c>
      <c r="B10" s="1" t="s">
        <v>18</v>
      </c>
      <c r="C10" s="1">
        <v>34</v>
      </c>
      <c r="D10" s="1">
        <v>7</v>
      </c>
      <c r="E10" s="3">
        <v>0.78</v>
      </c>
      <c r="F10" s="4">
        <f t="shared" si="1"/>
        <v>13.926666666666668</v>
      </c>
      <c r="G10" s="1" t="str">
        <f t="shared" si="0"/>
        <v>Below Expectations</v>
      </c>
      <c r="H10" s="18">
        <f>VLOOKUP(G10,Table2[], 2, FALSE)</f>
        <v>0</v>
      </c>
      <c r="I10" s="19">
        <f t="shared" si="2"/>
        <v>0</v>
      </c>
    </row>
    <row r="11" spans="1:12" ht="30" customHeight="1">
      <c r="A11" s="15" t="s">
        <v>33</v>
      </c>
      <c r="B11" s="1" t="s">
        <v>16</v>
      </c>
      <c r="C11" s="1">
        <v>290</v>
      </c>
      <c r="D11" s="1">
        <v>8.6999999999999993</v>
      </c>
      <c r="E11" s="3">
        <v>0.9</v>
      </c>
      <c r="F11" s="4">
        <f t="shared" si="1"/>
        <v>99.86666666666666</v>
      </c>
      <c r="G11" s="1" t="str">
        <f t="shared" si="0"/>
        <v>Excellent</v>
      </c>
      <c r="H11" s="18">
        <f>VLOOKUP(G11,Table2[], 2, FALSE)</f>
        <v>0.05</v>
      </c>
      <c r="I11" s="19">
        <f t="shared" si="2"/>
        <v>600</v>
      </c>
    </row>
    <row r="12" spans="1:12" ht="30" customHeight="1">
      <c r="A12" s="15" t="s">
        <v>34</v>
      </c>
      <c r="B12" s="1" t="s">
        <v>17</v>
      </c>
      <c r="C12" s="1">
        <v>200</v>
      </c>
      <c r="D12" s="1">
        <v>7.5</v>
      </c>
      <c r="E12" s="3">
        <v>0.65</v>
      </c>
      <c r="F12" s="4">
        <f t="shared" si="1"/>
        <v>69.38333333333334</v>
      </c>
      <c r="G12" s="1" t="str">
        <f t="shared" si="0"/>
        <v>Needs Improvement</v>
      </c>
      <c r="H12" s="18">
        <f>VLOOKUP(G12,Table2[], 2, FALSE)</f>
        <v>0.01</v>
      </c>
      <c r="I12" s="19">
        <f t="shared" si="2"/>
        <v>120</v>
      </c>
    </row>
    <row r="13" spans="1:12" ht="30" customHeight="1">
      <c r="A13" s="15" t="s">
        <v>35</v>
      </c>
      <c r="B13" s="1" t="s">
        <v>18</v>
      </c>
      <c r="C13" s="1">
        <v>330</v>
      </c>
      <c r="D13" s="1">
        <v>9.3000000000000007</v>
      </c>
      <c r="E13" s="3">
        <v>0.98</v>
      </c>
      <c r="F13" s="4">
        <f t="shared" si="1"/>
        <v>113.42666666666668</v>
      </c>
      <c r="G13" s="1" t="str">
        <f t="shared" si="0"/>
        <v>Excellent</v>
      </c>
      <c r="H13" s="18">
        <f>VLOOKUP(G13,Table2[], 2, FALSE)</f>
        <v>0.05</v>
      </c>
      <c r="I13" s="19">
        <f t="shared" si="2"/>
        <v>600</v>
      </c>
    </row>
    <row r="14" spans="1:12" ht="30" customHeight="1">
      <c r="A14" s="15" t="s">
        <v>36</v>
      </c>
      <c r="B14" s="1" t="s">
        <v>16</v>
      </c>
      <c r="C14" s="1">
        <v>45</v>
      </c>
      <c r="D14" s="1">
        <v>6.8</v>
      </c>
      <c r="E14" s="3">
        <v>0.4</v>
      </c>
      <c r="F14" s="4">
        <f t="shared" si="1"/>
        <v>17.399999999999999</v>
      </c>
      <c r="G14" s="1" t="str">
        <f t="shared" si="0"/>
        <v>Below Expectations</v>
      </c>
      <c r="H14" s="18">
        <f>VLOOKUP(G14,Table2[], 2, FALSE)</f>
        <v>0</v>
      </c>
      <c r="I14" s="19">
        <f t="shared" si="2"/>
        <v>0</v>
      </c>
    </row>
    <row r="15" spans="1:12" ht="30" customHeight="1">
      <c r="A15" s="15" t="s">
        <v>37</v>
      </c>
      <c r="B15" s="1" t="s">
        <v>17</v>
      </c>
      <c r="C15" s="1">
        <v>260</v>
      </c>
      <c r="D15" s="1">
        <v>8</v>
      </c>
      <c r="E15" s="3">
        <v>0.82</v>
      </c>
      <c r="F15" s="4">
        <f t="shared" si="1"/>
        <v>89.606666666666669</v>
      </c>
      <c r="G15" s="1" t="str">
        <f t="shared" si="0"/>
        <v>Excellent</v>
      </c>
      <c r="H15" s="18">
        <f>VLOOKUP(G15,Table2[], 2, FALSE)</f>
        <v>0.05</v>
      </c>
      <c r="I15" s="19">
        <f t="shared" si="2"/>
        <v>600</v>
      </c>
    </row>
    <row r="16" spans="1:12" ht="30" customHeight="1">
      <c r="A16" s="15" t="s">
        <v>38</v>
      </c>
      <c r="B16" s="1" t="s">
        <v>18</v>
      </c>
      <c r="C16" s="1">
        <v>300</v>
      </c>
      <c r="D16" s="1">
        <v>8.8000000000000007</v>
      </c>
      <c r="E16" s="3">
        <v>0.91</v>
      </c>
      <c r="F16" s="4">
        <f t="shared" si="1"/>
        <v>103.23666666666668</v>
      </c>
      <c r="G16" s="1" t="str">
        <f t="shared" si="0"/>
        <v>Excellent</v>
      </c>
      <c r="H16" s="18">
        <f>VLOOKUP(G16,Table2[], 2, FALSE)</f>
        <v>0.05</v>
      </c>
      <c r="I16" s="19">
        <f t="shared" si="2"/>
        <v>600</v>
      </c>
    </row>
    <row r="17" spans="1:9" ht="30" customHeight="1">
      <c r="A17" s="15" t="s">
        <v>39</v>
      </c>
      <c r="B17" s="1" t="s">
        <v>16</v>
      </c>
      <c r="C17" s="1">
        <v>400</v>
      </c>
      <c r="D17" s="1">
        <v>9.9</v>
      </c>
      <c r="E17" s="3">
        <v>1</v>
      </c>
      <c r="F17" s="4">
        <f t="shared" si="1"/>
        <v>136.96666666666667</v>
      </c>
      <c r="G17" s="1" t="str">
        <f t="shared" si="0"/>
        <v>Excellent</v>
      </c>
      <c r="H17" s="18">
        <f>VLOOKUP(G17,Table2[], 2, FALSE)</f>
        <v>0.05</v>
      </c>
      <c r="I17" s="19">
        <f t="shared" si="2"/>
        <v>600</v>
      </c>
    </row>
    <row r="18" spans="1:9" ht="30" customHeight="1">
      <c r="A18" s="15" t="s">
        <v>40</v>
      </c>
      <c r="B18" s="1" t="s">
        <v>17</v>
      </c>
      <c r="C18" s="1">
        <v>165</v>
      </c>
      <c r="D18" s="1">
        <v>7.1</v>
      </c>
      <c r="E18" s="3">
        <v>0.55000000000000004</v>
      </c>
      <c r="F18" s="4">
        <f t="shared" si="1"/>
        <v>57.550000000000004</v>
      </c>
      <c r="G18" s="1" t="str">
        <f t="shared" si="0"/>
        <v>Needs Improvement</v>
      </c>
      <c r="H18" s="18">
        <f>VLOOKUP(G18,Table2[], 2, FALSE)</f>
        <v>0.01</v>
      </c>
      <c r="I18" s="19">
        <f t="shared" si="2"/>
        <v>120</v>
      </c>
    </row>
    <row r="19" spans="1:9" ht="30" customHeight="1">
      <c r="A19" s="15" t="s">
        <v>41</v>
      </c>
      <c r="B19" s="1" t="s">
        <v>18</v>
      </c>
      <c r="C19" s="1">
        <v>67</v>
      </c>
      <c r="D19" s="1">
        <v>8</v>
      </c>
      <c r="E19" s="3">
        <v>0.79</v>
      </c>
      <c r="F19" s="4">
        <f t="shared" si="1"/>
        <v>25.263333333333335</v>
      </c>
      <c r="G19" s="1" t="str">
        <f t="shared" si="0"/>
        <v>Below Expectations</v>
      </c>
      <c r="H19" s="18">
        <f>VLOOKUP(G19,Table2[], 2, FALSE)</f>
        <v>0</v>
      </c>
      <c r="I19" s="19">
        <f t="shared" si="2"/>
        <v>0</v>
      </c>
    </row>
    <row r="20" spans="1:9" ht="30" customHeight="1">
      <c r="A20" s="15" t="s">
        <v>42</v>
      </c>
      <c r="B20" s="1" t="s">
        <v>16</v>
      </c>
      <c r="C20" s="1">
        <v>275</v>
      </c>
      <c r="D20" s="1">
        <v>8.4</v>
      </c>
      <c r="E20" s="3">
        <v>0.87</v>
      </c>
      <c r="F20" s="4">
        <f t="shared" si="1"/>
        <v>94.756666666666661</v>
      </c>
      <c r="G20" s="1" t="str">
        <f t="shared" si="0"/>
        <v>Excellent</v>
      </c>
      <c r="H20" s="18">
        <f>VLOOKUP(G20,Table2[], 2, FALSE)</f>
        <v>0.05</v>
      </c>
      <c r="I20" s="19">
        <f t="shared" si="2"/>
        <v>600</v>
      </c>
    </row>
    <row r="21" spans="1:9" ht="30" customHeight="1">
      <c r="A21" s="15" t="s">
        <v>43</v>
      </c>
      <c r="B21" s="1" t="s">
        <v>17</v>
      </c>
      <c r="C21" s="1">
        <v>320</v>
      </c>
      <c r="D21" s="1">
        <v>9</v>
      </c>
      <c r="E21" s="3">
        <v>0.94</v>
      </c>
      <c r="F21" s="4">
        <f t="shared" si="1"/>
        <v>109.98</v>
      </c>
      <c r="G21" s="1" t="str">
        <f t="shared" si="0"/>
        <v>Excellent</v>
      </c>
      <c r="H21" s="18">
        <f>VLOOKUP(G21,Table2[], 2, FALSE)</f>
        <v>0.05</v>
      </c>
      <c r="I21" s="19">
        <f t="shared" si="2"/>
        <v>600</v>
      </c>
    </row>
    <row r="23" spans="1:9" s="5" customFormat="1">
      <c r="A23" s="14"/>
      <c r="F23" s="10"/>
      <c r="I23" s="21"/>
    </row>
    <row r="24" spans="1:9">
      <c r="A24" s="17"/>
    </row>
    <row r="25" spans="1:9">
      <c r="A25" s="17"/>
    </row>
    <row r="26" spans="1:9">
      <c r="A26" s="17"/>
    </row>
    <row r="27" spans="1:9">
      <c r="A27" s="17"/>
    </row>
  </sheetData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{6671E948-AB2B-40D8-B8AB-9C38822F6565}</x14:id>
        </ext>
      </extLst>
    </cfRule>
  </conditionalFormatting>
  <conditionalFormatting sqref="G2:G21">
    <cfRule type="containsText" dxfId="1" priority="2" operator="containsText" text="Below Expectations">
      <formula>NOT(ISERROR(SEARCH("Below Expectations",G2)))</formula>
    </cfRule>
    <cfRule type="containsText" dxfId="0" priority="6" operator="containsText" text="Excellent">
      <formula>NOT(ISERROR(SEARCH("Excellent",G2)))</formula>
    </cfRule>
  </conditionalFormatting>
  <dataValidations count="1">
    <dataValidation type="list" allowBlank="1" showInputMessage="1" showErrorMessage="1" sqref="B2:B21" xr:uid="{5CE383B6-2AD3-4450-A87B-306B35FF7FCA}">
      <formula1>"Sales, Marketing, Operations"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1E948-AB2B-40D8-B8AB-9C38822F65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918F-5053-4793-8312-7A7512182715}">
  <dimension ref="A1:D5"/>
  <sheetViews>
    <sheetView workbookViewId="0">
      <selection activeCell="B4" sqref="B4"/>
    </sheetView>
  </sheetViews>
  <sheetFormatPr defaultRowHeight="15"/>
  <cols>
    <col min="1" max="2" width="18.7109375" customWidth="1"/>
    <col min="3" max="4" width="15.7109375" customWidth="1"/>
  </cols>
  <sheetData>
    <row r="1" spans="1:4" s="9" customFormat="1">
      <c r="A1" s="6" t="s">
        <v>6</v>
      </c>
      <c r="B1" s="7" t="s">
        <v>7</v>
      </c>
      <c r="C1" s="8"/>
      <c r="D1" s="8"/>
    </row>
    <row r="2" spans="1:4" ht="39.950000000000003" customHeight="1">
      <c r="A2" s="22" t="s">
        <v>8</v>
      </c>
      <c r="B2" s="23">
        <v>0.05</v>
      </c>
      <c r="C2" s="1"/>
      <c r="D2" s="1"/>
    </row>
    <row r="3" spans="1:4" ht="39.950000000000003" customHeight="1">
      <c r="A3" s="22" t="s">
        <v>9</v>
      </c>
      <c r="B3" s="24">
        <v>3.5000000000000003E-2</v>
      </c>
      <c r="C3" s="1"/>
      <c r="D3" s="1"/>
    </row>
    <row r="4" spans="1:4" ht="39.950000000000003" customHeight="1">
      <c r="A4" s="22" t="s">
        <v>10</v>
      </c>
      <c r="B4" s="24">
        <v>0.01</v>
      </c>
      <c r="C4" s="1"/>
      <c r="D4" s="1"/>
    </row>
    <row r="5" spans="1:4" ht="39.950000000000003" customHeight="1">
      <c r="A5" s="25" t="s">
        <v>11</v>
      </c>
      <c r="B5" s="26">
        <v>0</v>
      </c>
      <c r="C5" s="1"/>
      <c r="D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Performance_Q1</vt:lpstr>
      <vt:lpstr> Bonus_Tiers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CL1-19</dc:creator>
  <cp:lastModifiedBy>CL1-12</cp:lastModifiedBy>
  <dcterms:created xsi:type="dcterms:W3CDTF">2025-11-21T23:32:38Z</dcterms:created>
  <dcterms:modified xsi:type="dcterms:W3CDTF">2025-11-22T00:59:09Z</dcterms:modified>
</cp:coreProperties>
</file>