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1-01\Documents\"/>
    </mc:Choice>
  </mc:AlternateContent>
  <xr:revisionPtr revIDLastSave="0" documentId="8_{2F7D319C-909B-459F-98F1-B2D65B6CB01D}" xr6:coauthVersionLast="47" xr6:coauthVersionMax="47" xr10:uidLastSave="{00000000-0000-0000-0000-000000000000}"/>
  <bookViews>
    <workbookView xWindow="-120" yWindow="-120" windowWidth="29040" windowHeight="15720" activeTab="3" xr2:uid="{BF9B710C-1363-4BF3-8D6A-367704DF976D}"/>
  </bookViews>
  <sheets>
    <sheet name="Sheet1" sheetId="1" r:id="rId1"/>
    <sheet name="Sheet2" sheetId="2" r:id="rId2"/>
    <sheet name="Sheet3" sheetId="5" r:id="rId3"/>
    <sheet name="Sheet4" sheetId="3" r:id="rId4"/>
  </sheets>
  <calcPr calcId="191029"/>
  <pivotCaches>
    <pivotCache cacheId="38" r:id="rId5"/>
    <pivotCache cacheId="4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3" l="1"/>
  <c r="I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J3" i="2"/>
  <c r="J2" i="2"/>
</calcChain>
</file>

<file path=xl/sharedStrings.xml><?xml version="1.0" encoding="utf-8"?>
<sst xmlns="http://schemas.openxmlformats.org/spreadsheetml/2006/main" count="363" uniqueCount="42">
  <si>
    <t>OrderID</t>
  </si>
  <si>
    <t>Date</t>
  </si>
  <si>
    <t>Salesperson</t>
  </si>
  <si>
    <t>Branch</t>
  </si>
  <si>
    <t>Product</t>
  </si>
  <si>
    <t>Category</t>
  </si>
  <si>
    <t>Quantity</t>
  </si>
  <si>
    <t>Unit_Price</t>
  </si>
  <si>
    <t>Alice Johnson</t>
  </si>
  <si>
    <t>Central</t>
  </si>
  <si>
    <t>Laptop Pro</t>
  </si>
  <si>
    <t>Electronics</t>
  </si>
  <si>
    <t>Bob Smith</t>
  </si>
  <si>
    <t>North</t>
  </si>
  <si>
    <t>Monitor 27</t>
  </si>
  <si>
    <t>Charlie Brown</t>
  </si>
  <si>
    <t>South</t>
  </si>
  <si>
    <t>Desk Chair</t>
  </si>
  <si>
    <t>Furniture</t>
  </si>
  <si>
    <t>Tablet Mini</t>
  </si>
  <si>
    <t>Eve Davis</t>
  </si>
  <si>
    <t>West</t>
  </si>
  <si>
    <t>Office Sofa</t>
  </si>
  <si>
    <t>Keyboard RGB</t>
  </si>
  <si>
    <t>Accessories</t>
  </si>
  <si>
    <t>Mouse Pad</t>
  </si>
  <si>
    <t>Server Rack</t>
  </si>
  <si>
    <t>Desk Lamp</t>
  </si>
  <si>
    <t>Headset Pro</t>
  </si>
  <si>
    <t>File Cabinet</t>
  </si>
  <si>
    <t>#NAME?</t>
  </si>
  <si>
    <t>Category Rank</t>
  </si>
  <si>
    <t>Product Category</t>
  </si>
  <si>
    <t>Commission Rate</t>
  </si>
  <si>
    <r>
      <t>10%</t>
    </r>
    <r>
      <rPr>
        <sz val="11"/>
        <color rgb="FF1F1F1F"/>
        <rFont val="Arial"/>
        <family val="2"/>
      </rPr>
      <t xml:space="preserve"> (0.1)</t>
    </r>
  </si>
  <si>
    <r>
      <t>7%</t>
    </r>
    <r>
      <rPr>
        <sz val="11"/>
        <color rgb="FF1F1F1F"/>
        <rFont val="Arial"/>
        <family val="2"/>
      </rPr>
      <t xml:space="preserve"> (0.07)</t>
    </r>
  </si>
  <si>
    <r>
      <t>5%</t>
    </r>
    <r>
      <rPr>
        <sz val="11"/>
        <color rgb="FF1F1F1F"/>
        <rFont val="Arial"/>
        <family val="2"/>
      </rPr>
      <t xml:space="preserve"> (0.05)</t>
    </r>
  </si>
  <si>
    <t>Sum of Quantity</t>
  </si>
  <si>
    <t>Sum of Unit_Price</t>
  </si>
  <si>
    <t>Row Labels</t>
  </si>
  <si>
    <t>Grand Total</t>
  </si>
  <si>
    <t>Total Company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</si>
</sst>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14" fontId="2" fillId="0" borderId="1" xfId="0" applyNumberFormat="1" applyFont="1" applyBorder="1" applyAlignment="1">
      <alignment horizontal="left" vertical="center" wrapText="1" indent="1" readingOrder="1"/>
    </xf>
    <xf numFmtId="3" fontId="0" fillId="0" borderId="0" xfId="0" applyNumberFormat="1"/>
    <xf numFmtId="3" fontId="2" fillId="0" borderId="1" xfId="0" applyNumberFormat="1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3" fillId="0" borderId="5" xfId="0" applyFont="1" applyBorder="1" applyAlignment="1">
      <alignment horizontal="left" vertical="center" wrapText="1" indent="1" readingOrder="1"/>
    </xf>
    <xf numFmtId="0" fontId="2" fillId="0" borderId="7" xfId="0" applyFont="1" applyBorder="1" applyAlignment="1">
      <alignment horizontal="left" vertical="center" wrapText="1" indent="1" readingOrder="1"/>
    </xf>
    <xf numFmtId="14" fontId="2" fillId="0" borderId="8" xfId="0" applyNumberFormat="1" applyFont="1" applyBorder="1" applyAlignment="1">
      <alignment horizontal="left" vertical="center" wrapText="1" indent="1" readingOrder="1"/>
    </xf>
    <xf numFmtId="0" fontId="2" fillId="0" borderId="8" xfId="0" applyFont="1" applyBorder="1" applyAlignment="1">
      <alignment horizontal="left" vertical="center" wrapText="1" indent="1" readingOrder="1"/>
    </xf>
    <xf numFmtId="0" fontId="0" fillId="0" borderId="0" xfId="0" applyNumberFormat="1"/>
    <xf numFmtId="0" fontId="3" fillId="0" borderId="6" xfId="0" applyFont="1" applyBorder="1" applyAlignment="1">
      <alignment horizontal="center" vertical="center" wrapText="1" readingOrder="1"/>
    </xf>
    <xf numFmtId="3" fontId="2" fillId="0" borderId="3" xfId="0" applyNumberFormat="1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3" fontId="2" fillId="0" borderId="9" xfId="0" applyNumberFormat="1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9" formatCode="dd/mm/yyyy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9" formatCode="dd/mm/yyyy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[Manuel1.xlsx]Sheet3!PivotTable26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Sheet3!$A$4:$A$100</c:f>
              <c:multiLvlStrCache>
                <c:ptCount val="20"/>
                <c:lvl>
                  <c:pt idx="0">
                    <c:v>Laptop Pro</c:v>
                  </c:pt>
                  <c:pt idx="1">
                    <c:v>Monitor 27</c:v>
                  </c:pt>
                  <c:pt idx="2">
                    <c:v>Desk Chair</c:v>
                  </c:pt>
                  <c:pt idx="3">
                    <c:v>Tablet Mini</c:v>
                  </c:pt>
                  <c:pt idx="4">
                    <c:v>Office Sofa</c:v>
                  </c:pt>
                  <c:pt idx="5">
                    <c:v>Keyboard RGB</c:v>
                  </c:pt>
                  <c:pt idx="6">
                    <c:v>Mouse Pad</c:v>
                  </c:pt>
                  <c:pt idx="7">
                    <c:v>Server Rack</c:v>
                  </c:pt>
                  <c:pt idx="8">
                    <c:v>Desk Lamp</c:v>
                  </c:pt>
                  <c:pt idx="9">
                    <c:v>Headset Pro</c:v>
                  </c:pt>
                  <c:pt idx="10">
                    <c:v>Laptop Pro</c:v>
                  </c:pt>
                  <c:pt idx="11">
                    <c:v>File Cabinet</c:v>
                  </c:pt>
                  <c:pt idx="12">
                    <c:v>Monitor 27</c:v>
                  </c:pt>
                  <c:pt idx="13">
                    <c:v>Desk Chair</c:v>
                  </c:pt>
                  <c:pt idx="14">
                    <c:v>Monitor 27</c:v>
                  </c:pt>
                  <c:pt idx="15">
                    <c:v>Tablet Mini</c:v>
                  </c:pt>
                  <c:pt idx="16">
                    <c:v>Keyboard RGB</c:v>
                  </c:pt>
                  <c:pt idx="17">
                    <c:v>Office Sofa</c:v>
                  </c:pt>
                  <c:pt idx="18">
                    <c:v>Server Rack</c:v>
                  </c:pt>
                  <c:pt idx="19">
                    <c:v>Headset Pro</c:v>
                  </c:pt>
                </c:lvl>
                <c:lvl>
                  <c:pt idx="0">
                    <c:v>Electronics</c:v>
                  </c:pt>
                  <c:pt idx="1">
                    <c:v>Electronics</c:v>
                  </c:pt>
                  <c:pt idx="2">
                    <c:v>Furniture</c:v>
                  </c:pt>
                  <c:pt idx="3">
                    <c:v>Electronics</c:v>
                  </c:pt>
                  <c:pt idx="4">
                    <c:v>Furniture</c:v>
                  </c:pt>
                  <c:pt idx="5">
                    <c:v>Accessories</c:v>
                  </c:pt>
                  <c:pt idx="6">
                    <c:v>Accessories</c:v>
                  </c:pt>
                  <c:pt idx="7">
                    <c:v>Electronics</c:v>
                  </c:pt>
                  <c:pt idx="8">
                    <c:v>Furniture</c:v>
                  </c:pt>
                  <c:pt idx="9">
                    <c:v>Accessories</c:v>
                  </c:pt>
                  <c:pt idx="10">
                    <c:v>Electronics</c:v>
                  </c:pt>
                  <c:pt idx="11">
                    <c:v>Furniture</c:v>
                  </c:pt>
                  <c:pt idx="12">
                    <c:v>Electronics</c:v>
                  </c:pt>
                  <c:pt idx="13">
                    <c:v>Furniture</c:v>
                  </c:pt>
                  <c:pt idx="14">
                    <c:v>Electronics</c:v>
                  </c:pt>
                  <c:pt idx="15">
                    <c:v>Electronics</c:v>
                  </c:pt>
                  <c:pt idx="16">
                    <c:v>Accessories</c:v>
                  </c:pt>
                  <c:pt idx="17">
                    <c:v>Furniture</c:v>
                  </c:pt>
                  <c:pt idx="18">
                    <c:v>Electronics</c:v>
                  </c:pt>
                  <c:pt idx="19">
                    <c:v>Accessories</c:v>
                  </c:pt>
                </c:lvl>
                <c:lvl>
                  <c:pt idx="0">
                    <c:v>Central</c:v>
                  </c:pt>
                  <c:pt idx="1">
                    <c:v>North</c:v>
                  </c:pt>
                  <c:pt idx="2">
                    <c:v>South</c:v>
                  </c:pt>
                  <c:pt idx="3">
                    <c:v>Central</c:v>
                  </c:pt>
                  <c:pt idx="4">
                    <c:v>West</c:v>
                  </c:pt>
                  <c:pt idx="5">
                    <c:v>North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Central</c:v>
                  </c:pt>
                  <c:pt idx="9">
                    <c:v>North</c:v>
                  </c:pt>
                  <c:pt idx="10">
                    <c:v>South</c:v>
                  </c:pt>
                  <c:pt idx="11">
                    <c:v>West</c:v>
                  </c:pt>
                  <c:pt idx="12">
                    <c:v>Central</c:v>
                  </c:pt>
                  <c:pt idx="13">
                    <c:v>North</c:v>
                  </c:pt>
                  <c:pt idx="14">
                    <c:v>Central</c:v>
                  </c:pt>
                  <c:pt idx="15">
                    <c:v>South</c:v>
                  </c:pt>
                  <c:pt idx="16">
                    <c:v>West</c:v>
                  </c:pt>
                  <c:pt idx="17">
                    <c:v>North</c:v>
                  </c:pt>
                  <c:pt idx="18">
                    <c:v>Central</c:v>
                  </c:pt>
                  <c:pt idx="19">
                    <c:v>South</c:v>
                  </c:pt>
                </c:lvl>
                <c:lvl>
                  <c:pt idx="0">
                    <c:v>Alice Johnson</c:v>
                  </c:pt>
                  <c:pt idx="1">
                    <c:v>Bob Smith</c:v>
                  </c:pt>
                  <c:pt idx="2">
                    <c:v>Charlie Brown</c:v>
                  </c:pt>
                  <c:pt idx="3">
                    <c:v>Alice Johnson</c:v>
                  </c:pt>
                  <c:pt idx="4">
                    <c:v>Eve Davis</c:v>
                  </c:pt>
                  <c:pt idx="5">
                    <c:v>Bob Smith</c:v>
                  </c:pt>
                  <c:pt idx="6">
                    <c:v>Charlie Brown</c:v>
                  </c:pt>
                  <c:pt idx="7">
                    <c:v>Eve Davis</c:v>
                  </c:pt>
                  <c:pt idx="8">
                    <c:v>Alice Johnson</c:v>
                  </c:pt>
                  <c:pt idx="9">
                    <c:v>Bob Smith</c:v>
                  </c:pt>
                  <c:pt idx="10">
                    <c:v>Charlie Brown</c:v>
                  </c:pt>
                  <c:pt idx="11">
                    <c:v>Eve Davis</c:v>
                  </c:pt>
                  <c:pt idx="12">
                    <c:v>Alice Johnson</c:v>
                  </c:pt>
                  <c:pt idx="13">
                    <c:v>Bob Smith</c:v>
                  </c:pt>
                  <c:pt idx="14">
                    <c:v>Alice Johnson</c:v>
                  </c:pt>
                  <c:pt idx="15">
                    <c:v>Charlie Brown</c:v>
                  </c:pt>
                  <c:pt idx="16">
                    <c:v>Eve Davis</c:v>
                  </c:pt>
                  <c:pt idx="17">
                    <c:v>Bob Smith</c:v>
                  </c:pt>
                  <c:pt idx="18">
                    <c:v>Alice Johnson</c:v>
                  </c:pt>
                  <c:pt idx="19">
                    <c:v>Charlie Brown</c:v>
                  </c:pt>
                </c:lvl>
                <c:lvl>
                  <c:pt idx="0">
                    <c:v>05/01/2025</c:v>
                  </c:pt>
                  <c:pt idx="2">
                    <c:v>06/01/2025</c:v>
                  </c:pt>
                  <c:pt idx="3">
                    <c:v>07/01/2025</c:v>
                  </c:pt>
                  <c:pt idx="5">
                    <c:v>08/01/2025</c:v>
                  </c:pt>
                  <c:pt idx="6">
                    <c:v>09/01/2025</c:v>
                  </c:pt>
                  <c:pt idx="7">
                    <c:v>10/01/2025</c:v>
                  </c:pt>
                  <c:pt idx="8">
                    <c:v>11/01/2025</c:v>
                  </c:pt>
                  <c:pt idx="9">
                    <c:v>12/01/2025</c:v>
                  </c:pt>
                  <c:pt idx="10">
                    <c:v>13/01/2025</c:v>
                  </c:pt>
                  <c:pt idx="11">
                    <c:v>14/01/2025</c:v>
                  </c:pt>
                  <c:pt idx="12">
                    <c:v>15/01/2025</c:v>
                  </c:pt>
                  <c:pt idx="13">
                    <c:v>16/01/2025</c:v>
                  </c:pt>
                  <c:pt idx="14">
                    <c:v>17/01/2025</c:v>
                  </c:pt>
                  <c:pt idx="16">
                    <c:v>18/01/2025</c:v>
                  </c:pt>
                  <c:pt idx="17">
                    <c:v>19/01/2025</c:v>
                  </c:pt>
                  <c:pt idx="18">
                    <c:v>20/01/2025</c:v>
                  </c:pt>
                </c:lvl>
              </c:multiLvlStrCache>
            </c:multiLvlStrRef>
          </c:cat>
          <c:val>
            <c:numRef>
              <c:f>Sheet3!$B$4:$B$100</c:f>
              <c:numCache>
                <c:formatCode>General</c:formatCode>
                <c:ptCount val="20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7</c:v>
                </c:pt>
                <c:pt idx="4">
                  <c:v>3</c:v>
                </c:pt>
                <c:pt idx="5">
                  <c:v>20</c:v>
                </c:pt>
                <c:pt idx="6">
                  <c:v>30</c:v>
                </c:pt>
                <c:pt idx="7">
                  <c:v>1</c:v>
                </c:pt>
                <c:pt idx="8">
                  <c:v>8</c:v>
                </c:pt>
                <c:pt idx="9">
                  <c:v>15</c:v>
                </c:pt>
                <c:pt idx="10">
                  <c:v>1</c:v>
                </c:pt>
                <c:pt idx="11">
                  <c:v>5</c:v>
                </c:pt>
                <c:pt idx="12">
                  <c:v>3</c:v>
                </c:pt>
                <c:pt idx="13">
                  <c:v>6</c:v>
                </c:pt>
                <c:pt idx="14">
                  <c:v>5</c:v>
                </c:pt>
                <c:pt idx="15">
                  <c:v>4</c:v>
                </c:pt>
                <c:pt idx="16">
                  <c:v>10</c:v>
                </c:pt>
                <c:pt idx="17">
                  <c:v>2</c:v>
                </c:pt>
                <c:pt idx="18">
                  <c:v>1</c:v>
                </c:pt>
                <c:pt idx="1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73-4D59-B8FF-46785DF3D053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Unit_Price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Sheet3!$A$4:$A$100</c:f>
              <c:multiLvlStrCache>
                <c:ptCount val="20"/>
                <c:lvl>
                  <c:pt idx="0">
                    <c:v>Laptop Pro</c:v>
                  </c:pt>
                  <c:pt idx="1">
                    <c:v>Monitor 27</c:v>
                  </c:pt>
                  <c:pt idx="2">
                    <c:v>Desk Chair</c:v>
                  </c:pt>
                  <c:pt idx="3">
                    <c:v>Tablet Mini</c:v>
                  </c:pt>
                  <c:pt idx="4">
                    <c:v>Office Sofa</c:v>
                  </c:pt>
                  <c:pt idx="5">
                    <c:v>Keyboard RGB</c:v>
                  </c:pt>
                  <c:pt idx="6">
                    <c:v>Mouse Pad</c:v>
                  </c:pt>
                  <c:pt idx="7">
                    <c:v>Server Rack</c:v>
                  </c:pt>
                  <c:pt idx="8">
                    <c:v>Desk Lamp</c:v>
                  </c:pt>
                  <c:pt idx="9">
                    <c:v>Headset Pro</c:v>
                  </c:pt>
                  <c:pt idx="10">
                    <c:v>Laptop Pro</c:v>
                  </c:pt>
                  <c:pt idx="11">
                    <c:v>File Cabinet</c:v>
                  </c:pt>
                  <c:pt idx="12">
                    <c:v>Monitor 27</c:v>
                  </c:pt>
                  <c:pt idx="13">
                    <c:v>Desk Chair</c:v>
                  </c:pt>
                  <c:pt idx="14">
                    <c:v>Monitor 27</c:v>
                  </c:pt>
                  <c:pt idx="15">
                    <c:v>Tablet Mini</c:v>
                  </c:pt>
                  <c:pt idx="16">
                    <c:v>Keyboard RGB</c:v>
                  </c:pt>
                  <c:pt idx="17">
                    <c:v>Office Sofa</c:v>
                  </c:pt>
                  <c:pt idx="18">
                    <c:v>Server Rack</c:v>
                  </c:pt>
                  <c:pt idx="19">
                    <c:v>Headset Pro</c:v>
                  </c:pt>
                </c:lvl>
                <c:lvl>
                  <c:pt idx="0">
                    <c:v>Electronics</c:v>
                  </c:pt>
                  <c:pt idx="1">
                    <c:v>Electronics</c:v>
                  </c:pt>
                  <c:pt idx="2">
                    <c:v>Furniture</c:v>
                  </c:pt>
                  <c:pt idx="3">
                    <c:v>Electronics</c:v>
                  </c:pt>
                  <c:pt idx="4">
                    <c:v>Furniture</c:v>
                  </c:pt>
                  <c:pt idx="5">
                    <c:v>Accessories</c:v>
                  </c:pt>
                  <c:pt idx="6">
                    <c:v>Accessories</c:v>
                  </c:pt>
                  <c:pt idx="7">
                    <c:v>Electronics</c:v>
                  </c:pt>
                  <c:pt idx="8">
                    <c:v>Furniture</c:v>
                  </c:pt>
                  <c:pt idx="9">
                    <c:v>Accessories</c:v>
                  </c:pt>
                  <c:pt idx="10">
                    <c:v>Electronics</c:v>
                  </c:pt>
                  <c:pt idx="11">
                    <c:v>Furniture</c:v>
                  </c:pt>
                  <c:pt idx="12">
                    <c:v>Electronics</c:v>
                  </c:pt>
                  <c:pt idx="13">
                    <c:v>Furniture</c:v>
                  </c:pt>
                  <c:pt idx="14">
                    <c:v>Electronics</c:v>
                  </c:pt>
                  <c:pt idx="15">
                    <c:v>Electronics</c:v>
                  </c:pt>
                  <c:pt idx="16">
                    <c:v>Accessories</c:v>
                  </c:pt>
                  <c:pt idx="17">
                    <c:v>Furniture</c:v>
                  </c:pt>
                  <c:pt idx="18">
                    <c:v>Electronics</c:v>
                  </c:pt>
                  <c:pt idx="19">
                    <c:v>Accessories</c:v>
                  </c:pt>
                </c:lvl>
                <c:lvl>
                  <c:pt idx="0">
                    <c:v>Central</c:v>
                  </c:pt>
                  <c:pt idx="1">
                    <c:v>North</c:v>
                  </c:pt>
                  <c:pt idx="2">
                    <c:v>South</c:v>
                  </c:pt>
                  <c:pt idx="3">
                    <c:v>Central</c:v>
                  </c:pt>
                  <c:pt idx="4">
                    <c:v>West</c:v>
                  </c:pt>
                  <c:pt idx="5">
                    <c:v>North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Central</c:v>
                  </c:pt>
                  <c:pt idx="9">
                    <c:v>North</c:v>
                  </c:pt>
                  <c:pt idx="10">
                    <c:v>South</c:v>
                  </c:pt>
                  <c:pt idx="11">
                    <c:v>West</c:v>
                  </c:pt>
                  <c:pt idx="12">
                    <c:v>Central</c:v>
                  </c:pt>
                  <c:pt idx="13">
                    <c:v>North</c:v>
                  </c:pt>
                  <c:pt idx="14">
                    <c:v>Central</c:v>
                  </c:pt>
                  <c:pt idx="15">
                    <c:v>South</c:v>
                  </c:pt>
                  <c:pt idx="16">
                    <c:v>West</c:v>
                  </c:pt>
                  <c:pt idx="17">
                    <c:v>North</c:v>
                  </c:pt>
                  <c:pt idx="18">
                    <c:v>Central</c:v>
                  </c:pt>
                  <c:pt idx="19">
                    <c:v>South</c:v>
                  </c:pt>
                </c:lvl>
                <c:lvl>
                  <c:pt idx="0">
                    <c:v>Alice Johnson</c:v>
                  </c:pt>
                  <c:pt idx="1">
                    <c:v>Bob Smith</c:v>
                  </c:pt>
                  <c:pt idx="2">
                    <c:v>Charlie Brown</c:v>
                  </c:pt>
                  <c:pt idx="3">
                    <c:v>Alice Johnson</c:v>
                  </c:pt>
                  <c:pt idx="4">
                    <c:v>Eve Davis</c:v>
                  </c:pt>
                  <c:pt idx="5">
                    <c:v>Bob Smith</c:v>
                  </c:pt>
                  <c:pt idx="6">
                    <c:v>Charlie Brown</c:v>
                  </c:pt>
                  <c:pt idx="7">
                    <c:v>Eve Davis</c:v>
                  </c:pt>
                  <c:pt idx="8">
                    <c:v>Alice Johnson</c:v>
                  </c:pt>
                  <c:pt idx="9">
                    <c:v>Bob Smith</c:v>
                  </c:pt>
                  <c:pt idx="10">
                    <c:v>Charlie Brown</c:v>
                  </c:pt>
                  <c:pt idx="11">
                    <c:v>Eve Davis</c:v>
                  </c:pt>
                  <c:pt idx="12">
                    <c:v>Alice Johnson</c:v>
                  </c:pt>
                  <c:pt idx="13">
                    <c:v>Bob Smith</c:v>
                  </c:pt>
                  <c:pt idx="14">
                    <c:v>Alice Johnson</c:v>
                  </c:pt>
                  <c:pt idx="15">
                    <c:v>Charlie Brown</c:v>
                  </c:pt>
                  <c:pt idx="16">
                    <c:v>Eve Davis</c:v>
                  </c:pt>
                  <c:pt idx="17">
                    <c:v>Bob Smith</c:v>
                  </c:pt>
                  <c:pt idx="18">
                    <c:v>Alice Johnson</c:v>
                  </c:pt>
                  <c:pt idx="19">
                    <c:v>Charlie Brown</c:v>
                  </c:pt>
                </c:lvl>
                <c:lvl>
                  <c:pt idx="0">
                    <c:v>05/01/2025</c:v>
                  </c:pt>
                  <c:pt idx="2">
                    <c:v>06/01/2025</c:v>
                  </c:pt>
                  <c:pt idx="3">
                    <c:v>07/01/2025</c:v>
                  </c:pt>
                  <c:pt idx="5">
                    <c:v>08/01/2025</c:v>
                  </c:pt>
                  <c:pt idx="6">
                    <c:v>09/01/2025</c:v>
                  </c:pt>
                  <c:pt idx="7">
                    <c:v>10/01/2025</c:v>
                  </c:pt>
                  <c:pt idx="8">
                    <c:v>11/01/2025</c:v>
                  </c:pt>
                  <c:pt idx="9">
                    <c:v>12/01/2025</c:v>
                  </c:pt>
                  <c:pt idx="10">
                    <c:v>13/01/2025</c:v>
                  </c:pt>
                  <c:pt idx="11">
                    <c:v>14/01/2025</c:v>
                  </c:pt>
                  <c:pt idx="12">
                    <c:v>15/01/2025</c:v>
                  </c:pt>
                  <c:pt idx="13">
                    <c:v>16/01/2025</c:v>
                  </c:pt>
                  <c:pt idx="14">
                    <c:v>17/01/2025</c:v>
                  </c:pt>
                  <c:pt idx="16">
                    <c:v>18/01/2025</c:v>
                  </c:pt>
                  <c:pt idx="17">
                    <c:v>19/01/2025</c:v>
                  </c:pt>
                  <c:pt idx="18">
                    <c:v>20/01/2025</c:v>
                  </c:pt>
                </c:lvl>
              </c:multiLvlStrCache>
            </c:multiLvlStrRef>
          </c:cat>
          <c:val>
            <c:numRef>
              <c:f>Sheet3!$C$4:$C$100</c:f>
              <c:numCache>
                <c:formatCode>General</c:formatCode>
                <c:ptCount val="20"/>
                <c:pt idx="0">
                  <c:v>1200</c:v>
                </c:pt>
                <c:pt idx="1">
                  <c:v>350</c:v>
                </c:pt>
                <c:pt idx="2">
                  <c:v>150</c:v>
                </c:pt>
                <c:pt idx="3">
                  <c:v>400</c:v>
                </c:pt>
                <c:pt idx="4">
                  <c:v>550</c:v>
                </c:pt>
                <c:pt idx="5">
                  <c:v>75</c:v>
                </c:pt>
                <c:pt idx="6">
                  <c:v>10</c:v>
                </c:pt>
                <c:pt idx="7">
                  <c:v>2500</c:v>
                </c:pt>
                <c:pt idx="8">
                  <c:v>50</c:v>
                </c:pt>
                <c:pt idx="9">
                  <c:v>120</c:v>
                </c:pt>
                <c:pt idx="10">
                  <c:v>1200</c:v>
                </c:pt>
                <c:pt idx="11">
                  <c:v>200</c:v>
                </c:pt>
                <c:pt idx="12">
                  <c:v>350</c:v>
                </c:pt>
                <c:pt idx="13">
                  <c:v>150</c:v>
                </c:pt>
                <c:pt idx="14">
                  <c:v>350</c:v>
                </c:pt>
                <c:pt idx="15">
                  <c:v>400</c:v>
                </c:pt>
                <c:pt idx="16">
                  <c:v>75</c:v>
                </c:pt>
                <c:pt idx="17">
                  <c:v>550</c:v>
                </c:pt>
                <c:pt idx="18">
                  <c:v>2500</c:v>
                </c:pt>
                <c:pt idx="19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73-4D59-B8FF-46785DF3D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8015680"/>
        <c:axId val="698021440"/>
      </c:barChart>
      <c:catAx>
        <c:axId val="69801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021440"/>
        <c:crosses val="autoZero"/>
        <c:auto val="1"/>
        <c:lblAlgn val="ctr"/>
        <c:lblOffset val="100"/>
        <c:noMultiLvlLbl val="0"/>
      </c:catAx>
      <c:valAx>
        <c:axId val="69802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01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504825</xdr:colOff>
      <xdr:row>13</xdr:row>
      <xdr:rowOff>4762</xdr:rowOff>
    </xdr:from>
    <xdr:to>
      <xdr:col>15</xdr:col>
      <xdr:colOff>200025</xdr:colOff>
      <xdr:row>27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6E67EA-3E82-3261-D974-D84BC779E5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1-01" refreshedDate="45997.360556597225" createdVersion="8" refreshedVersion="8" minRefreshableVersion="3" recordCount="19" xr:uid="{65076585-ADF6-4791-8D3C-F2BD31665FB9}">
  <cacheSource type="worksheet">
    <worksheetSource ref="F2:F21" sheet="Sheet4"/>
  </cacheSource>
  <cacheFields count="1">
    <cacheField name="Electronics" numFmtId="0">
      <sharedItems count="3">
        <s v="Electronics"/>
        <s v="Furniture"/>
        <s v="Accessori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1-01" refreshedDate="45997.366113657408" createdVersion="8" refreshedVersion="8" minRefreshableVersion="3" recordCount="20" xr:uid="{7EC7EEF3-1E2B-4B0B-8491-B50F70A6E328}">
  <cacheSource type="worksheet">
    <worksheetSource name="Table15"/>
  </cacheSource>
  <cacheFields count="8">
    <cacheField name="#NAME?" numFmtId="0">
      <sharedItems containsSemiMixedTypes="0" containsString="0" containsNumber="1" containsInteger="1" minValue="1001" maxValue="1020"/>
    </cacheField>
    <cacheField name="Date" numFmtId="14">
      <sharedItems containsSemiMixedTypes="0" containsNonDate="0" containsDate="1" containsString="0" minDate="2025-01-05T00:00:00" maxDate="2025-01-21T00:00:00" count="16"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</sharedItems>
    </cacheField>
    <cacheField name="Salesperson" numFmtId="0">
      <sharedItems count="4">
        <s v="Alice Johnson"/>
        <s v="Bob Smith"/>
        <s v="Charlie Brown"/>
        <s v="Eve Davis"/>
      </sharedItems>
    </cacheField>
    <cacheField name="Branch" numFmtId="0">
      <sharedItems count="4">
        <s v="Central"/>
        <s v="North"/>
        <s v="South"/>
        <s v="West"/>
      </sharedItems>
    </cacheField>
    <cacheField name="Product" numFmtId="0">
      <sharedItems count="11">
        <s v="Laptop Pro"/>
        <s v="Monitor 27"/>
        <s v="Desk Chair"/>
        <s v="Tablet Mini"/>
        <s v="Office Sofa"/>
        <s v="Keyboard RGB"/>
        <s v="Mouse Pad"/>
        <s v="Server Rack"/>
        <s v="Desk Lamp"/>
        <s v="Headset Pro"/>
        <s v="File Cabinet"/>
      </sharedItems>
    </cacheField>
    <cacheField name="Category" numFmtId="0">
      <sharedItems count="3">
        <s v="Electronics"/>
        <s v="Furniture"/>
        <s v="Accessories"/>
      </sharedItems>
    </cacheField>
    <cacheField name="Quantity" numFmtId="0">
      <sharedItems containsSemiMixedTypes="0" containsString="0" containsNumber="1" containsInteger="1" minValue="1" maxValue="30"/>
    </cacheField>
    <cacheField name="Unit_Price" numFmtId="0">
      <sharedItems containsSemiMixedTypes="0" containsString="0" containsNumber="1" containsInteger="1" minValue="10" maxValue="2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</r>
  <r>
    <x v="1"/>
  </r>
  <r>
    <x v="0"/>
  </r>
  <r>
    <x v="1"/>
  </r>
  <r>
    <x v="2"/>
  </r>
  <r>
    <x v="2"/>
  </r>
  <r>
    <x v="0"/>
  </r>
  <r>
    <x v="1"/>
  </r>
  <r>
    <x v="2"/>
  </r>
  <r>
    <x v="0"/>
  </r>
  <r>
    <x v="1"/>
  </r>
  <r>
    <x v="0"/>
  </r>
  <r>
    <x v="1"/>
  </r>
  <r>
    <x v="0"/>
  </r>
  <r>
    <x v="0"/>
  </r>
  <r>
    <x v="2"/>
  </r>
  <r>
    <x v="1"/>
  </r>
  <r>
    <x v="2"/>
  </r>
  <r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01"/>
    <x v="0"/>
    <x v="0"/>
    <x v="0"/>
    <x v="0"/>
    <x v="0"/>
    <n v="2"/>
    <n v="1200"/>
  </r>
  <r>
    <n v="1002"/>
    <x v="0"/>
    <x v="1"/>
    <x v="1"/>
    <x v="1"/>
    <x v="0"/>
    <n v="5"/>
    <n v="350"/>
  </r>
  <r>
    <n v="1003"/>
    <x v="1"/>
    <x v="2"/>
    <x v="2"/>
    <x v="2"/>
    <x v="1"/>
    <n v="10"/>
    <n v="150"/>
  </r>
  <r>
    <n v="1004"/>
    <x v="2"/>
    <x v="0"/>
    <x v="0"/>
    <x v="3"/>
    <x v="0"/>
    <n v="7"/>
    <n v="400"/>
  </r>
  <r>
    <n v="1005"/>
    <x v="2"/>
    <x v="3"/>
    <x v="3"/>
    <x v="4"/>
    <x v="1"/>
    <n v="3"/>
    <n v="550"/>
  </r>
  <r>
    <n v="1006"/>
    <x v="3"/>
    <x v="1"/>
    <x v="1"/>
    <x v="5"/>
    <x v="2"/>
    <n v="20"/>
    <n v="75"/>
  </r>
  <r>
    <n v="1007"/>
    <x v="4"/>
    <x v="2"/>
    <x v="2"/>
    <x v="6"/>
    <x v="2"/>
    <n v="30"/>
    <n v="10"/>
  </r>
  <r>
    <n v="1008"/>
    <x v="5"/>
    <x v="3"/>
    <x v="3"/>
    <x v="7"/>
    <x v="0"/>
    <n v="1"/>
    <n v="2500"/>
  </r>
  <r>
    <n v="1009"/>
    <x v="6"/>
    <x v="0"/>
    <x v="0"/>
    <x v="8"/>
    <x v="1"/>
    <n v="8"/>
    <n v="50"/>
  </r>
  <r>
    <n v="1010"/>
    <x v="7"/>
    <x v="1"/>
    <x v="1"/>
    <x v="9"/>
    <x v="2"/>
    <n v="15"/>
    <n v="120"/>
  </r>
  <r>
    <n v="1011"/>
    <x v="8"/>
    <x v="2"/>
    <x v="2"/>
    <x v="0"/>
    <x v="0"/>
    <n v="1"/>
    <n v="1200"/>
  </r>
  <r>
    <n v="1012"/>
    <x v="9"/>
    <x v="3"/>
    <x v="3"/>
    <x v="10"/>
    <x v="1"/>
    <n v="5"/>
    <n v="200"/>
  </r>
  <r>
    <n v="1013"/>
    <x v="10"/>
    <x v="0"/>
    <x v="0"/>
    <x v="1"/>
    <x v="0"/>
    <n v="3"/>
    <n v="350"/>
  </r>
  <r>
    <n v="1014"/>
    <x v="11"/>
    <x v="1"/>
    <x v="1"/>
    <x v="2"/>
    <x v="1"/>
    <n v="6"/>
    <n v="150"/>
  </r>
  <r>
    <n v="1015"/>
    <x v="12"/>
    <x v="2"/>
    <x v="2"/>
    <x v="3"/>
    <x v="0"/>
    <n v="4"/>
    <n v="400"/>
  </r>
  <r>
    <n v="1016"/>
    <x v="12"/>
    <x v="0"/>
    <x v="0"/>
    <x v="1"/>
    <x v="0"/>
    <n v="5"/>
    <n v="350"/>
  </r>
  <r>
    <n v="1017"/>
    <x v="13"/>
    <x v="3"/>
    <x v="3"/>
    <x v="5"/>
    <x v="2"/>
    <n v="10"/>
    <n v="75"/>
  </r>
  <r>
    <n v="1018"/>
    <x v="14"/>
    <x v="1"/>
    <x v="1"/>
    <x v="4"/>
    <x v="1"/>
    <n v="2"/>
    <n v="550"/>
  </r>
  <r>
    <n v="1019"/>
    <x v="15"/>
    <x v="2"/>
    <x v="2"/>
    <x v="9"/>
    <x v="2"/>
    <n v="5"/>
    <n v="120"/>
  </r>
  <r>
    <n v="1020"/>
    <x v="15"/>
    <x v="0"/>
    <x v="0"/>
    <x v="7"/>
    <x v="0"/>
    <n v="1"/>
    <n v="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091B0-317E-4B00-9178-3164AB10EE73}" name="PivotTable26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A3:C100" firstHeaderRow="0" firstDataRow="1" firstDataCol="1"/>
  <pivotFields count="8">
    <pivotField showAll="0"/>
    <pivotField axis="axisRow"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12">
        <item x="2"/>
        <item x="8"/>
        <item x="10"/>
        <item x="9"/>
        <item x="5"/>
        <item x="0"/>
        <item x="1"/>
        <item x="6"/>
        <item x="4"/>
        <item x="7"/>
        <item x="3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showAll="0"/>
    <pivotField dataField="1" showAll="0"/>
  </pivotFields>
  <rowFields count="5">
    <field x="1"/>
    <field x="2"/>
    <field x="3"/>
    <field x="5"/>
    <field x="4"/>
  </rowFields>
  <rowItems count="97">
    <i>
      <x/>
    </i>
    <i r="1">
      <x/>
    </i>
    <i r="2">
      <x/>
    </i>
    <i r="3">
      <x v="1"/>
    </i>
    <i r="4">
      <x v="5"/>
    </i>
    <i r="1">
      <x v="1"/>
    </i>
    <i r="2">
      <x v="1"/>
    </i>
    <i r="3">
      <x v="1"/>
    </i>
    <i r="4">
      <x v="6"/>
    </i>
    <i>
      <x v="1"/>
    </i>
    <i r="1">
      <x v="2"/>
    </i>
    <i r="2">
      <x v="2"/>
    </i>
    <i r="3">
      <x v="2"/>
    </i>
    <i r="4">
      <x/>
    </i>
    <i>
      <x v="2"/>
    </i>
    <i r="1">
      <x/>
    </i>
    <i r="2">
      <x/>
    </i>
    <i r="3">
      <x v="1"/>
    </i>
    <i r="4">
      <x v="10"/>
    </i>
    <i r="1">
      <x v="3"/>
    </i>
    <i r="2">
      <x v="3"/>
    </i>
    <i r="3">
      <x v="2"/>
    </i>
    <i r="4">
      <x v="8"/>
    </i>
    <i>
      <x v="3"/>
    </i>
    <i r="1">
      <x v="1"/>
    </i>
    <i r="2">
      <x v="1"/>
    </i>
    <i r="3">
      <x/>
    </i>
    <i r="4">
      <x v="4"/>
    </i>
    <i>
      <x v="4"/>
    </i>
    <i r="1">
      <x v="2"/>
    </i>
    <i r="2">
      <x v="2"/>
    </i>
    <i r="3">
      <x/>
    </i>
    <i r="4">
      <x v="7"/>
    </i>
    <i>
      <x v="5"/>
    </i>
    <i r="1">
      <x v="3"/>
    </i>
    <i r="2">
      <x v="3"/>
    </i>
    <i r="3">
      <x v="1"/>
    </i>
    <i r="4">
      <x v="9"/>
    </i>
    <i>
      <x v="6"/>
    </i>
    <i r="1">
      <x/>
    </i>
    <i r="2">
      <x/>
    </i>
    <i r="3">
      <x v="2"/>
    </i>
    <i r="4">
      <x v="1"/>
    </i>
    <i>
      <x v="7"/>
    </i>
    <i r="1">
      <x v="1"/>
    </i>
    <i r="2">
      <x v="1"/>
    </i>
    <i r="3">
      <x/>
    </i>
    <i r="4">
      <x v="3"/>
    </i>
    <i>
      <x v="8"/>
    </i>
    <i r="1">
      <x v="2"/>
    </i>
    <i r="2">
      <x v="2"/>
    </i>
    <i r="3">
      <x v="1"/>
    </i>
    <i r="4">
      <x v="5"/>
    </i>
    <i>
      <x v="9"/>
    </i>
    <i r="1">
      <x v="3"/>
    </i>
    <i r="2">
      <x v="3"/>
    </i>
    <i r="3">
      <x v="2"/>
    </i>
    <i r="4">
      <x v="2"/>
    </i>
    <i>
      <x v="10"/>
    </i>
    <i r="1">
      <x/>
    </i>
    <i r="2">
      <x/>
    </i>
    <i r="3">
      <x v="1"/>
    </i>
    <i r="4">
      <x v="6"/>
    </i>
    <i>
      <x v="11"/>
    </i>
    <i r="1">
      <x v="1"/>
    </i>
    <i r="2">
      <x v="1"/>
    </i>
    <i r="3">
      <x v="2"/>
    </i>
    <i r="4">
      <x/>
    </i>
    <i>
      <x v="12"/>
    </i>
    <i r="1">
      <x/>
    </i>
    <i r="2">
      <x/>
    </i>
    <i r="3">
      <x v="1"/>
    </i>
    <i r="4">
      <x v="6"/>
    </i>
    <i r="1">
      <x v="2"/>
    </i>
    <i r="2">
      <x v="2"/>
    </i>
    <i r="3">
      <x v="1"/>
    </i>
    <i r="4">
      <x v="10"/>
    </i>
    <i>
      <x v="13"/>
    </i>
    <i r="1">
      <x v="3"/>
    </i>
    <i r="2">
      <x v="3"/>
    </i>
    <i r="3">
      <x/>
    </i>
    <i r="4">
      <x v="4"/>
    </i>
    <i>
      <x v="14"/>
    </i>
    <i r="1">
      <x v="1"/>
    </i>
    <i r="2">
      <x v="1"/>
    </i>
    <i r="3">
      <x v="2"/>
    </i>
    <i r="4">
      <x v="8"/>
    </i>
    <i>
      <x v="15"/>
    </i>
    <i r="1">
      <x/>
    </i>
    <i r="2">
      <x/>
    </i>
    <i r="3">
      <x v="1"/>
    </i>
    <i r="4">
      <x v="9"/>
    </i>
    <i r="1">
      <x v="2"/>
    </i>
    <i r="2">
      <x v="2"/>
    </i>
    <i r="3">
      <x/>
    </i>
    <i r="4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6" baseField="0" baseItem="0"/>
    <dataField name="Sum of Unit_Price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7A5F3F-208C-4012-80FF-4E00A7D62D05}" name="PivotTable25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J3:J7" firstHeaderRow="1" firstDataRow="1" firstDataCol="1"/>
  <pivotFields count="1">
    <pivotField axis="axisRow" showAll="0">
      <items count="4">
        <item x="2"/>
        <item x="0"/>
        <item x="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C6FB51-F0A6-466C-93B0-427967E0A0CD}" name="Table1" displayName="Table1" ref="A1:H21" totalsRowShown="0" headerRowDxfId="28" dataDxfId="27" headerRowBorderDxfId="25" tableBorderDxfId="26" totalsRowBorderDxfId="24">
  <autoFilter ref="A1:H21" xr:uid="{5CC6FB51-F0A6-466C-93B0-427967E0A0CD}"/>
  <tableColumns count="8">
    <tableColumn id="1" xr3:uid="{3041A118-AFA9-4307-918E-CC25F119770D}" name="#NAME?" dataDxfId="23"/>
    <tableColumn id="2" xr3:uid="{707140C4-E39A-4453-9394-EC6B667BAAC6}" name="Date" dataDxfId="22"/>
    <tableColumn id="3" xr3:uid="{12BB79F7-2EB2-4ACF-912F-30DCCE02D7E0}" name="Salesperson" dataDxfId="21"/>
    <tableColumn id="4" xr3:uid="{CB802B8F-26AF-4773-90E3-AFC74DD10E02}" name="Branch" dataDxfId="20"/>
    <tableColumn id="5" xr3:uid="{9E594FF3-7BFA-4EFD-91A1-8C141D5E952E}" name="Product" dataDxfId="19"/>
    <tableColumn id="6" xr3:uid="{92B05A12-D5CE-428F-BC5D-F3FF530B73AF}" name="Category" dataDxfId="18"/>
    <tableColumn id="7" xr3:uid="{D9100598-3F66-4399-B7D1-2983931E83E7}" name="Quantity" dataDxfId="17"/>
    <tableColumn id="8" xr3:uid="{D8D79075-0A91-44AF-9087-72AC99C3069D}" name="Unit_Price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87265F-1462-4126-9D26-124D54455DBC}" name="Table3" displayName="Table3" ref="I1:I21" totalsRowShown="0" headerRowDxfId="13" dataDxfId="14">
  <autoFilter ref="I1:I21" xr:uid="{6887265F-1462-4126-9D26-124D54455DBC}"/>
  <tableColumns count="1">
    <tableColumn id="1" xr3:uid="{8699608A-D645-4D6A-B676-CD53C50CA407}" name="Category Rank" dataDxfId="15">
      <calculatedColumnFormula>RANK(H2,H$2:H$21)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81FD19-88BD-4FC8-A416-703C8D955A94}" name="Table15" displayName="Table15" ref="A1:H21" totalsRowShown="0" headerRowDxfId="12" dataDxfId="11" headerRowBorderDxfId="9" tableBorderDxfId="10" totalsRowBorderDxfId="8">
  <autoFilter ref="A1:H21" xr:uid="{7081FD19-88BD-4FC8-A416-703C8D955A94}"/>
  <tableColumns count="8">
    <tableColumn id="1" xr3:uid="{08FA1DCC-7339-49C4-8476-FBFEF64571E6}" name="#NAME?" dataDxfId="7"/>
    <tableColumn id="2" xr3:uid="{FF43D66C-43D2-4A57-93B9-1E46CE352ACF}" name="Date" dataDxfId="6"/>
    <tableColumn id="3" xr3:uid="{7C1CC2CE-33DB-42DD-BB86-5DF143DA33D5}" name="Salesperson" dataDxfId="5"/>
    <tableColumn id="4" xr3:uid="{59811098-552B-4F26-9DC4-F86C8CCD99C2}" name="Branch" dataDxfId="4"/>
    <tableColumn id="5" xr3:uid="{1360C46D-C41E-4498-B616-88A07E9E1D13}" name="Product" dataDxfId="3"/>
    <tableColumn id="6" xr3:uid="{74D9C7CA-5DDD-4FC1-A3F3-8D10C7F0CC32}" name="Category" dataDxfId="2"/>
    <tableColumn id="7" xr3:uid="{E5B53A43-2414-4A3A-94EB-1B9371357857}" name="Quantity" dataDxfId="1"/>
    <tableColumn id="8" xr3:uid="{6C44A10A-66B9-43CD-AA94-EE51EA7744FF}" name="Unit_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ABFB0-2D5C-4759-A063-DCFE18B62124}">
  <dimension ref="A1:H21"/>
  <sheetViews>
    <sheetView workbookViewId="0">
      <selection activeCell="F13" sqref="F13"/>
    </sheetView>
  </sheetViews>
  <sheetFormatPr defaultRowHeight="15" x14ac:dyDescent="0.25"/>
  <cols>
    <col min="1" max="1" width="14" customWidth="1"/>
    <col min="2" max="2" width="16.85546875" customWidth="1"/>
    <col min="3" max="3" width="17.28515625" customWidth="1"/>
    <col min="4" max="4" width="19.140625" customWidth="1"/>
    <col min="5" max="5" width="17" customWidth="1"/>
    <col min="6" max="6" width="20.5703125" customWidth="1"/>
    <col min="7" max="7" width="14.140625" customWidth="1"/>
    <col min="8" max="8" width="12.42578125" customWidth="1"/>
  </cols>
  <sheetData>
    <row r="1" spans="1:8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thickBot="1" x14ac:dyDescent="0.3">
      <c r="A2" s="2">
        <v>1001</v>
      </c>
      <c r="B2" s="3">
        <v>45662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2</v>
      </c>
      <c r="H2" s="5">
        <v>1200</v>
      </c>
    </row>
    <row r="3" spans="1:8" ht="29.25" thickBot="1" x14ac:dyDescent="0.3">
      <c r="A3" s="2">
        <v>1002</v>
      </c>
      <c r="B3" s="3">
        <v>45662</v>
      </c>
      <c r="C3" s="2" t="s">
        <v>12</v>
      </c>
      <c r="D3" s="2" t="s">
        <v>13</v>
      </c>
      <c r="E3" s="2" t="s">
        <v>14</v>
      </c>
      <c r="F3" s="2" t="s">
        <v>11</v>
      </c>
      <c r="G3" s="2">
        <v>5</v>
      </c>
      <c r="H3" s="2">
        <v>350</v>
      </c>
    </row>
    <row r="4" spans="1:8" ht="29.25" thickBot="1" x14ac:dyDescent="0.3">
      <c r="A4" s="2">
        <v>1003</v>
      </c>
      <c r="B4" s="3">
        <v>45663</v>
      </c>
      <c r="C4" s="2" t="s">
        <v>15</v>
      </c>
      <c r="D4" s="2" t="s">
        <v>16</v>
      </c>
      <c r="E4" s="2" t="s">
        <v>17</v>
      </c>
      <c r="F4" s="2" t="s">
        <v>18</v>
      </c>
      <c r="G4" s="2">
        <v>10</v>
      </c>
      <c r="H4" s="2">
        <v>150</v>
      </c>
    </row>
    <row r="5" spans="1:8" ht="43.5" thickBot="1" x14ac:dyDescent="0.3">
      <c r="A5" s="2">
        <v>1004</v>
      </c>
      <c r="B5" s="3">
        <v>45664</v>
      </c>
      <c r="C5" s="2" t="s">
        <v>8</v>
      </c>
      <c r="D5" s="2" t="s">
        <v>9</v>
      </c>
      <c r="E5" s="2" t="s">
        <v>19</v>
      </c>
      <c r="F5" s="2" t="s">
        <v>11</v>
      </c>
      <c r="G5" s="2">
        <v>7</v>
      </c>
      <c r="H5" s="2">
        <v>400</v>
      </c>
    </row>
    <row r="6" spans="1:8" ht="29.25" thickBot="1" x14ac:dyDescent="0.3">
      <c r="A6" s="2">
        <v>1005</v>
      </c>
      <c r="B6" s="3">
        <v>45664</v>
      </c>
      <c r="C6" s="2" t="s">
        <v>20</v>
      </c>
      <c r="D6" s="2" t="s">
        <v>21</v>
      </c>
      <c r="E6" s="2" t="s">
        <v>22</v>
      </c>
      <c r="F6" s="2" t="s">
        <v>18</v>
      </c>
      <c r="G6" s="2">
        <v>3</v>
      </c>
      <c r="H6" s="2">
        <v>550</v>
      </c>
    </row>
    <row r="7" spans="1:8" ht="43.5" thickBot="1" x14ac:dyDescent="0.3">
      <c r="A7" s="2">
        <v>1006</v>
      </c>
      <c r="B7" s="3">
        <v>45665</v>
      </c>
      <c r="C7" s="2" t="s">
        <v>12</v>
      </c>
      <c r="D7" s="2" t="s">
        <v>13</v>
      </c>
      <c r="E7" s="2" t="s">
        <v>23</v>
      </c>
      <c r="F7" s="2" t="s">
        <v>24</v>
      </c>
      <c r="G7" s="2">
        <v>20</v>
      </c>
      <c r="H7" s="2">
        <v>75</v>
      </c>
    </row>
    <row r="8" spans="1:8" ht="29.25" thickBot="1" x14ac:dyDescent="0.3">
      <c r="A8" s="2">
        <v>1007</v>
      </c>
      <c r="B8" s="3">
        <v>45666</v>
      </c>
      <c r="C8" s="2" t="s">
        <v>15</v>
      </c>
      <c r="D8" s="2" t="s">
        <v>16</v>
      </c>
      <c r="E8" s="2" t="s">
        <v>25</v>
      </c>
      <c r="F8" s="2" t="s">
        <v>24</v>
      </c>
      <c r="G8" s="2">
        <v>30</v>
      </c>
      <c r="H8" s="2">
        <v>10</v>
      </c>
    </row>
    <row r="9" spans="1:8" ht="29.25" thickBot="1" x14ac:dyDescent="0.3">
      <c r="A9" s="2">
        <v>1008</v>
      </c>
      <c r="B9" s="3">
        <v>45667</v>
      </c>
      <c r="C9" s="2" t="s">
        <v>20</v>
      </c>
      <c r="D9" s="2" t="s">
        <v>21</v>
      </c>
      <c r="E9" s="2" t="s">
        <v>26</v>
      </c>
      <c r="F9" s="2" t="s">
        <v>11</v>
      </c>
      <c r="G9" s="2">
        <v>1</v>
      </c>
      <c r="H9" s="5">
        <v>2500</v>
      </c>
    </row>
    <row r="10" spans="1:8" ht="43.5" thickBot="1" x14ac:dyDescent="0.3">
      <c r="A10" s="2">
        <v>1009</v>
      </c>
      <c r="B10" s="3">
        <v>45668</v>
      </c>
      <c r="C10" s="2" t="s">
        <v>8</v>
      </c>
      <c r="D10" s="2" t="s">
        <v>9</v>
      </c>
      <c r="E10" s="2" t="s">
        <v>27</v>
      </c>
      <c r="F10" s="2" t="s">
        <v>18</v>
      </c>
      <c r="G10" s="2">
        <v>8</v>
      </c>
      <c r="H10" s="2">
        <v>50</v>
      </c>
    </row>
    <row r="11" spans="1:8" ht="29.25" thickBot="1" x14ac:dyDescent="0.3">
      <c r="A11" s="2">
        <v>1010</v>
      </c>
      <c r="B11" s="3">
        <v>45669</v>
      </c>
      <c r="C11" s="2" t="s">
        <v>12</v>
      </c>
      <c r="D11" s="2" t="s">
        <v>13</v>
      </c>
      <c r="E11" s="2" t="s">
        <v>28</v>
      </c>
      <c r="F11" s="2" t="s">
        <v>24</v>
      </c>
      <c r="G11" s="2">
        <v>15</v>
      </c>
      <c r="H11" s="2">
        <v>120</v>
      </c>
    </row>
    <row r="12" spans="1:8" ht="29.25" thickBot="1" x14ac:dyDescent="0.3">
      <c r="A12" s="2">
        <v>1011</v>
      </c>
      <c r="B12" s="3">
        <v>45670</v>
      </c>
      <c r="C12" s="2" t="s">
        <v>15</v>
      </c>
      <c r="D12" s="2" t="s">
        <v>16</v>
      </c>
      <c r="E12" s="2" t="s">
        <v>10</v>
      </c>
      <c r="F12" s="2" t="s">
        <v>11</v>
      </c>
      <c r="G12" s="2">
        <v>1</v>
      </c>
      <c r="H12" s="5">
        <v>1200</v>
      </c>
    </row>
    <row r="13" spans="1:8" ht="43.5" thickBot="1" x14ac:dyDescent="0.3">
      <c r="A13" s="2">
        <v>1012</v>
      </c>
      <c r="B13" s="3">
        <v>45671</v>
      </c>
      <c r="C13" s="2" t="s">
        <v>20</v>
      </c>
      <c r="D13" s="2" t="s">
        <v>21</v>
      </c>
      <c r="E13" s="2" t="s">
        <v>29</v>
      </c>
      <c r="F13" s="2" t="s">
        <v>18</v>
      </c>
      <c r="G13" s="2">
        <v>5</v>
      </c>
      <c r="H13" s="2">
        <v>200</v>
      </c>
    </row>
    <row r="14" spans="1:8" ht="43.5" thickBot="1" x14ac:dyDescent="0.3">
      <c r="A14" s="2">
        <v>1013</v>
      </c>
      <c r="B14" s="3">
        <v>45672</v>
      </c>
      <c r="C14" s="2" t="s">
        <v>8</v>
      </c>
      <c r="D14" s="2" t="s">
        <v>9</v>
      </c>
      <c r="E14" s="2" t="s">
        <v>14</v>
      </c>
      <c r="F14" s="2" t="s">
        <v>11</v>
      </c>
      <c r="G14" s="2">
        <v>3</v>
      </c>
      <c r="H14" s="2">
        <v>350</v>
      </c>
    </row>
    <row r="15" spans="1:8" ht="29.25" thickBot="1" x14ac:dyDescent="0.3">
      <c r="A15" s="2">
        <v>1014</v>
      </c>
      <c r="B15" s="3">
        <v>45673</v>
      </c>
      <c r="C15" s="2" t="s">
        <v>12</v>
      </c>
      <c r="D15" s="2" t="s">
        <v>13</v>
      </c>
      <c r="E15" s="2" t="s">
        <v>17</v>
      </c>
      <c r="F15" s="2" t="s">
        <v>18</v>
      </c>
      <c r="G15" s="2">
        <v>6</v>
      </c>
      <c r="H15" s="2">
        <v>150</v>
      </c>
    </row>
    <row r="16" spans="1:8" ht="29.25" thickBot="1" x14ac:dyDescent="0.3">
      <c r="A16" s="2">
        <v>1015</v>
      </c>
      <c r="B16" s="3">
        <v>45674</v>
      </c>
      <c r="C16" s="2" t="s">
        <v>15</v>
      </c>
      <c r="D16" s="2" t="s">
        <v>16</v>
      </c>
      <c r="E16" s="2" t="s">
        <v>19</v>
      </c>
      <c r="F16" s="2" t="s">
        <v>11</v>
      </c>
      <c r="G16" s="2">
        <v>4</v>
      </c>
      <c r="H16" s="2">
        <v>400</v>
      </c>
    </row>
    <row r="17" spans="1:8" ht="43.5" thickBot="1" x14ac:dyDescent="0.3">
      <c r="A17" s="2">
        <v>1016</v>
      </c>
      <c r="B17" s="3">
        <v>45674</v>
      </c>
      <c r="C17" s="2" t="s">
        <v>8</v>
      </c>
      <c r="D17" s="2" t="s">
        <v>9</v>
      </c>
      <c r="E17" s="2" t="s">
        <v>14</v>
      </c>
      <c r="F17" s="2" t="s">
        <v>11</v>
      </c>
      <c r="G17" s="2">
        <v>5</v>
      </c>
      <c r="H17" s="2">
        <v>350</v>
      </c>
    </row>
    <row r="18" spans="1:8" ht="43.5" thickBot="1" x14ac:dyDescent="0.3">
      <c r="A18" s="2">
        <v>1017</v>
      </c>
      <c r="B18" s="3">
        <v>45675</v>
      </c>
      <c r="C18" s="2" t="s">
        <v>20</v>
      </c>
      <c r="D18" s="2" t="s">
        <v>21</v>
      </c>
      <c r="E18" s="2" t="s">
        <v>23</v>
      </c>
      <c r="F18" s="2" t="s">
        <v>24</v>
      </c>
      <c r="G18" s="2">
        <v>10</v>
      </c>
      <c r="H18" s="2">
        <v>75</v>
      </c>
    </row>
    <row r="19" spans="1:8" ht="29.25" thickBot="1" x14ac:dyDescent="0.3">
      <c r="A19" s="2">
        <v>1018</v>
      </c>
      <c r="B19" s="3">
        <v>45676</v>
      </c>
      <c r="C19" s="2" t="s">
        <v>12</v>
      </c>
      <c r="D19" s="2" t="s">
        <v>13</v>
      </c>
      <c r="E19" s="2" t="s">
        <v>22</v>
      </c>
      <c r="F19" s="2" t="s">
        <v>18</v>
      </c>
      <c r="G19" s="2">
        <v>2</v>
      </c>
      <c r="H19" s="2">
        <v>550</v>
      </c>
    </row>
    <row r="20" spans="1:8" ht="29.25" thickBot="1" x14ac:dyDescent="0.3">
      <c r="A20" s="2">
        <v>1019</v>
      </c>
      <c r="B20" s="3">
        <v>45677</v>
      </c>
      <c r="C20" s="2" t="s">
        <v>15</v>
      </c>
      <c r="D20" s="2" t="s">
        <v>16</v>
      </c>
      <c r="E20" s="2" t="s">
        <v>28</v>
      </c>
      <c r="F20" s="2" t="s">
        <v>24</v>
      </c>
      <c r="G20" s="2">
        <v>5</v>
      </c>
      <c r="H20" s="2">
        <v>120</v>
      </c>
    </row>
    <row r="21" spans="1:8" ht="43.5" thickBot="1" x14ac:dyDescent="0.3">
      <c r="A21" s="2">
        <v>1020</v>
      </c>
      <c r="B21" s="3">
        <v>45677</v>
      </c>
      <c r="C21" s="2" t="s">
        <v>8</v>
      </c>
      <c r="D21" s="2" t="s">
        <v>9</v>
      </c>
      <c r="E21" s="2" t="s">
        <v>26</v>
      </c>
      <c r="F21" s="2" t="s">
        <v>11</v>
      </c>
      <c r="G21" s="2">
        <v>1</v>
      </c>
      <c r="H21" s="5">
        <v>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2C5F4-57E0-40DC-852B-BCE4BA5E37A0}">
  <dimension ref="A1:J29"/>
  <sheetViews>
    <sheetView workbookViewId="0">
      <selection activeCell="J2" sqref="J2"/>
    </sheetView>
  </sheetViews>
  <sheetFormatPr defaultRowHeight="15" x14ac:dyDescent="0.25"/>
  <cols>
    <col min="1" max="1" width="21" customWidth="1"/>
    <col min="2" max="2" width="21.7109375" customWidth="1"/>
    <col min="3" max="3" width="20.28515625" customWidth="1"/>
    <col min="4" max="4" width="21" customWidth="1"/>
    <col min="5" max="5" width="18.5703125" customWidth="1"/>
    <col min="6" max="6" width="17.140625" customWidth="1"/>
    <col min="7" max="7" width="16.140625" customWidth="1"/>
    <col min="8" max="8" width="15" style="17" customWidth="1"/>
    <col min="9" max="9" width="15.7109375" style="19" customWidth="1"/>
  </cols>
  <sheetData>
    <row r="1" spans="1:10" ht="15.75" thickBot="1" x14ac:dyDescent="0.3">
      <c r="A1" s="7" t="s">
        <v>30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3" t="s">
        <v>7</v>
      </c>
      <c r="I1" s="18" t="s">
        <v>31</v>
      </c>
    </row>
    <row r="2" spans="1:10" ht="15.75" thickBot="1" x14ac:dyDescent="0.3">
      <c r="A2" s="6">
        <v>1001</v>
      </c>
      <c r="B2" s="3">
        <v>45662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2</v>
      </c>
      <c r="H2" s="14">
        <v>1200</v>
      </c>
      <c r="I2" s="19">
        <f>RANK(H2,H$2:H$21)</f>
        <v>3</v>
      </c>
      <c r="J2" s="19">
        <f>(G2:G21)*(H2:H21)</f>
        <v>2400</v>
      </c>
    </row>
    <row r="3" spans="1:10" ht="15.75" thickBot="1" x14ac:dyDescent="0.3">
      <c r="A3" s="6">
        <v>1002</v>
      </c>
      <c r="B3" s="3">
        <v>45662</v>
      </c>
      <c r="C3" s="2" t="s">
        <v>12</v>
      </c>
      <c r="D3" s="2" t="s">
        <v>13</v>
      </c>
      <c r="E3" s="2" t="s">
        <v>14</v>
      </c>
      <c r="F3" s="2" t="s">
        <v>11</v>
      </c>
      <c r="G3" s="2">
        <v>5</v>
      </c>
      <c r="H3" s="15">
        <v>350</v>
      </c>
      <c r="I3" s="19">
        <f>RANK(H3,H$2:H$21)</f>
        <v>9</v>
      </c>
      <c r="J3" t="str">
        <f xml:space="preserve"> LEFT(D2:D21, 1)</f>
        <v>N</v>
      </c>
    </row>
    <row r="4" spans="1:10" ht="15.75" thickBot="1" x14ac:dyDescent="0.3">
      <c r="A4" s="6">
        <v>1003</v>
      </c>
      <c r="B4" s="3">
        <v>45663</v>
      </c>
      <c r="C4" s="2" t="s">
        <v>15</v>
      </c>
      <c r="D4" s="2" t="s">
        <v>16</v>
      </c>
      <c r="E4" s="2" t="s">
        <v>17</v>
      </c>
      <c r="F4" s="2" t="s">
        <v>18</v>
      </c>
      <c r="G4" s="2">
        <v>10</v>
      </c>
      <c r="H4" s="15">
        <v>150</v>
      </c>
      <c r="I4" s="19">
        <f>RANK(H4,H$2:H$21)</f>
        <v>13</v>
      </c>
    </row>
    <row r="5" spans="1:10" ht="15.75" thickBot="1" x14ac:dyDescent="0.3">
      <c r="A5" s="6">
        <v>1004</v>
      </c>
      <c r="B5" s="3">
        <v>45664</v>
      </c>
      <c r="C5" s="2" t="s">
        <v>8</v>
      </c>
      <c r="D5" s="2" t="s">
        <v>9</v>
      </c>
      <c r="E5" s="2" t="s">
        <v>19</v>
      </c>
      <c r="F5" s="2" t="s">
        <v>11</v>
      </c>
      <c r="G5" s="2">
        <v>7</v>
      </c>
      <c r="H5" s="15">
        <v>400</v>
      </c>
      <c r="I5" s="19">
        <f>RANK(H5,H$2:H$21)</f>
        <v>7</v>
      </c>
    </row>
    <row r="6" spans="1:10" ht="15.75" thickBot="1" x14ac:dyDescent="0.3">
      <c r="A6" s="6">
        <v>1005</v>
      </c>
      <c r="B6" s="3">
        <v>45664</v>
      </c>
      <c r="C6" s="2" t="s">
        <v>20</v>
      </c>
      <c r="D6" s="2" t="s">
        <v>21</v>
      </c>
      <c r="E6" s="2" t="s">
        <v>22</v>
      </c>
      <c r="F6" s="2" t="s">
        <v>18</v>
      </c>
      <c r="G6" s="2">
        <v>3</v>
      </c>
      <c r="H6" s="15">
        <v>550</v>
      </c>
      <c r="I6" s="19">
        <f>RANK(H6,H$2:H$21)</f>
        <v>5</v>
      </c>
    </row>
    <row r="7" spans="1:10" ht="15.75" thickBot="1" x14ac:dyDescent="0.3">
      <c r="A7" s="6">
        <v>1006</v>
      </c>
      <c r="B7" s="3">
        <v>45665</v>
      </c>
      <c r="C7" s="2" t="s">
        <v>12</v>
      </c>
      <c r="D7" s="2" t="s">
        <v>13</v>
      </c>
      <c r="E7" s="2" t="s">
        <v>23</v>
      </c>
      <c r="F7" s="2" t="s">
        <v>24</v>
      </c>
      <c r="G7" s="2">
        <v>20</v>
      </c>
      <c r="H7" s="15">
        <v>75</v>
      </c>
      <c r="I7" s="19">
        <f>RANK(H7,H$2:H$21)</f>
        <v>17</v>
      </c>
    </row>
    <row r="8" spans="1:10" ht="15.75" thickBot="1" x14ac:dyDescent="0.3">
      <c r="A8" s="6">
        <v>1007</v>
      </c>
      <c r="B8" s="3">
        <v>45666</v>
      </c>
      <c r="C8" s="2" t="s">
        <v>15</v>
      </c>
      <c r="D8" s="2" t="s">
        <v>16</v>
      </c>
      <c r="E8" s="2" t="s">
        <v>25</v>
      </c>
      <c r="F8" s="2" t="s">
        <v>24</v>
      </c>
      <c r="G8" s="2">
        <v>30</v>
      </c>
      <c r="H8" s="15">
        <v>10</v>
      </c>
      <c r="I8" s="19">
        <f>RANK(H8,H$2:H$21)</f>
        <v>20</v>
      </c>
    </row>
    <row r="9" spans="1:10" ht="15.75" thickBot="1" x14ac:dyDescent="0.3">
      <c r="A9" s="6">
        <v>1008</v>
      </c>
      <c r="B9" s="3">
        <v>45667</v>
      </c>
      <c r="C9" s="2" t="s">
        <v>20</v>
      </c>
      <c r="D9" s="2" t="s">
        <v>21</v>
      </c>
      <c r="E9" s="2" t="s">
        <v>26</v>
      </c>
      <c r="F9" s="2" t="s">
        <v>11</v>
      </c>
      <c r="G9" s="2">
        <v>1</v>
      </c>
      <c r="H9" s="14">
        <v>2500</v>
      </c>
      <c r="I9" s="19">
        <f>RANK(H9,H$2:H$21)</f>
        <v>1</v>
      </c>
    </row>
    <row r="10" spans="1:10" ht="15.75" thickBot="1" x14ac:dyDescent="0.3">
      <c r="A10" s="6">
        <v>1009</v>
      </c>
      <c r="B10" s="3">
        <v>45668</v>
      </c>
      <c r="C10" s="2" t="s">
        <v>8</v>
      </c>
      <c r="D10" s="2" t="s">
        <v>9</v>
      </c>
      <c r="E10" s="2" t="s">
        <v>27</v>
      </c>
      <c r="F10" s="2" t="s">
        <v>18</v>
      </c>
      <c r="G10" s="2">
        <v>8</v>
      </c>
      <c r="H10" s="15">
        <v>50</v>
      </c>
      <c r="I10" s="19">
        <f>RANK(H10,H$2:H$21)</f>
        <v>19</v>
      </c>
    </row>
    <row r="11" spans="1:10" ht="15.75" thickBot="1" x14ac:dyDescent="0.3">
      <c r="A11" s="6">
        <v>1010</v>
      </c>
      <c r="B11" s="3">
        <v>45669</v>
      </c>
      <c r="C11" s="2" t="s">
        <v>12</v>
      </c>
      <c r="D11" s="2" t="s">
        <v>13</v>
      </c>
      <c r="E11" s="2" t="s">
        <v>28</v>
      </c>
      <c r="F11" s="2" t="s">
        <v>24</v>
      </c>
      <c r="G11" s="2">
        <v>15</v>
      </c>
      <c r="H11" s="15">
        <v>120</v>
      </c>
      <c r="I11" s="19">
        <f>RANK(H11,H$2:H$21)</f>
        <v>15</v>
      </c>
    </row>
    <row r="12" spans="1:10" ht="15.75" thickBot="1" x14ac:dyDescent="0.3">
      <c r="A12" s="6">
        <v>1011</v>
      </c>
      <c r="B12" s="3">
        <v>45670</v>
      </c>
      <c r="C12" s="2" t="s">
        <v>15</v>
      </c>
      <c r="D12" s="2" t="s">
        <v>16</v>
      </c>
      <c r="E12" s="2" t="s">
        <v>10</v>
      </c>
      <c r="F12" s="2" t="s">
        <v>11</v>
      </c>
      <c r="G12" s="2">
        <v>1</v>
      </c>
      <c r="H12" s="14">
        <v>1200</v>
      </c>
      <c r="I12" s="19">
        <f>RANK(H12,H$2:H$21)</f>
        <v>3</v>
      </c>
    </row>
    <row r="13" spans="1:10" ht="15.75" thickBot="1" x14ac:dyDescent="0.3">
      <c r="A13" s="6">
        <v>1012</v>
      </c>
      <c r="B13" s="3">
        <v>45671</v>
      </c>
      <c r="C13" s="2" t="s">
        <v>20</v>
      </c>
      <c r="D13" s="2" t="s">
        <v>21</v>
      </c>
      <c r="E13" s="2" t="s">
        <v>29</v>
      </c>
      <c r="F13" s="2" t="s">
        <v>18</v>
      </c>
      <c r="G13" s="2">
        <v>5</v>
      </c>
      <c r="H13" s="15">
        <v>200</v>
      </c>
      <c r="I13" s="19">
        <f>RANK(H13,H$2:H$21)</f>
        <v>12</v>
      </c>
    </row>
    <row r="14" spans="1:10" ht="15.75" thickBot="1" x14ac:dyDescent="0.3">
      <c r="A14" s="6">
        <v>1013</v>
      </c>
      <c r="B14" s="3">
        <v>45672</v>
      </c>
      <c r="C14" s="2" t="s">
        <v>8</v>
      </c>
      <c r="D14" s="2" t="s">
        <v>9</v>
      </c>
      <c r="E14" s="2" t="s">
        <v>14</v>
      </c>
      <c r="F14" s="2" t="s">
        <v>11</v>
      </c>
      <c r="G14" s="2">
        <v>3</v>
      </c>
      <c r="H14" s="15">
        <v>350</v>
      </c>
      <c r="I14" s="19">
        <f>RANK(H14,H$2:H$21)</f>
        <v>9</v>
      </c>
    </row>
    <row r="15" spans="1:10" ht="15.75" thickBot="1" x14ac:dyDescent="0.3">
      <c r="A15" s="6">
        <v>1014</v>
      </c>
      <c r="B15" s="3">
        <v>45673</v>
      </c>
      <c r="C15" s="2" t="s">
        <v>12</v>
      </c>
      <c r="D15" s="2" t="s">
        <v>13</v>
      </c>
      <c r="E15" s="2" t="s">
        <v>17</v>
      </c>
      <c r="F15" s="2" t="s">
        <v>18</v>
      </c>
      <c r="G15" s="2">
        <v>6</v>
      </c>
      <c r="H15" s="15">
        <v>150</v>
      </c>
      <c r="I15" s="19">
        <f>RANK(H15,H$2:H$21)</f>
        <v>13</v>
      </c>
    </row>
    <row r="16" spans="1:10" ht="15.75" thickBot="1" x14ac:dyDescent="0.3">
      <c r="A16" s="6">
        <v>1015</v>
      </c>
      <c r="B16" s="3">
        <v>45674</v>
      </c>
      <c r="C16" s="2" t="s">
        <v>15</v>
      </c>
      <c r="D16" s="2" t="s">
        <v>16</v>
      </c>
      <c r="E16" s="2" t="s">
        <v>19</v>
      </c>
      <c r="F16" s="2" t="s">
        <v>11</v>
      </c>
      <c r="G16" s="2">
        <v>4</v>
      </c>
      <c r="H16" s="15">
        <v>400</v>
      </c>
      <c r="I16" s="19">
        <f>RANK(H16,H$2:H$21)</f>
        <v>7</v>
      </c>
    </row>
    <row r="17" spans="1:9" ht="15.75" thickBot="1" x14ac:dyDescent="0.3">
      <c r="A17" s="6">
        <v>1016</v>
      </c>
      <c r="B17" s="3">
        <v>45674</v>
      </c>
      <c r="C17" s="2" t="s">
        <v>8</v>
      </c>
      <c r="D17" s="2" t="s">
        <v>9</v>
      </c>
      <c r="E17" s="2" t="s">
        <v>14</v>
      </c>
      <c r="F17" s="2" t="s">
        <v>11</v>
      </c>
      <c r="G17" s="2">
        <v>5</v>
      </c>
      <c r="H17" s="15">
        <v>350</v>
      </c>
      <c r="I17" s="19">
        <f>RANK(H17,H$2:H$21)</f>
        <v>9</v>
      </c>
    </row>
    <row r="18" spans="1:9" ht="15.75" thickBot="1" x14ac:dyDescent="0.3">
      <c r="A18" s="6">
        <v>1017</v>
      </c>
      <c r="B18" s="3">
        <v>45675</v>
      </c>
      <c r="C18" s="2" t="s">
        <v>20</v>
      </c>
      <c r="D18" s="2" t="s">
        <v>21</v>
      </c>
      <c r="E18" s="2" t="s">
        <v>23</v>
      </c>
      <c r="F18" s="2" t="s">
        <v>24</v>
      </c>
      <c r="G18" s="2">
        <v>10</v>
      </c>
      <c r="H18" s="15">
        <v>75</v>
      </c>
      <c r="I18" s="19">
        <f>RANK(H18,H$2:H$21)</f>
        <v>17</v>
      </c>
    </row>
    <row r="19" spans="1:9" ht="15.75" thickBot="1" x14ac:dyDescent="0.3">
      <c r="A19" s="6">
        <v>1018</v>
      </c>
      <c r="B19" s="3">
        <v>45676</v>
      </c>
      <c r="C19" s="2" t="s">
        <v>12</v>
      </c>
      <c r="D19" s="2" t="s">
        <v>13</v>
      </c>
      <c r="E19" s="2" t="s">
        <v>22</v>
      </c>
      <c r="F19" s="2" t="s">
        <v>18</v>
      </c>
      <c r="G19" s="2">
        <v>2</v>
      </c>
      <c r="H19" s="15">
        <v>550</v>
      </c>
      <c r="I19" s="19">
        <f>RANK(H19,H$2:H$21)</f>
        <v>5</v>
      </c>
    </row>
    <row r="20" spans="1:9" ht="15.75" thickBot="1" x14ac:dyDescent="0.3">
      <c r="A20" s="6">
        <v>1019</v>
      </c>
      <c r="B20" s="3">
        <v>45677</v>
      </c>
      <c r="C20" s="2" t="s">
        <v>15</v>
      </c>
      <c r="D20" s="2" t="s">
        <v>16</v>
      </c>
      <c r="E20" s="2" t="s">
        <v>28</v>
      </c>
      <c r="F20" s="2" t="s">
        <v>24</v>
      </c>
      <c r="G20" s="2">
        <v>5</v>
      </c>
      <c r="H20" s="15">
        <v>120</v>
      </c>
      <c r="I20" s="19">
        <f>RANK(H20,H$2:H$21)</f>
        <v>15</v>
      </c>
    </row>
    <row r="21" spans="1:9" x14ac:dyDescent="0.25">
      <c r="A21" s="9">
        <v>1020</v>
      </c>
      <c r="B21" s="10">
        <v>45677</v>
      </c>
      <c r="C21" s="11" t="s">
        <v>8</v>
      </c>
      <c r="D21" s="11" t="s">
        <v>9</v>
      </c>
      <c r="E21" s="11" t="s">
        <v>26</v>
      </c>
      <c r="F21" s="11" t="s">
        <v>11</v>
      </c>
      <c r="G21" s="11">
        <v>1</v>
      </c>
      <c r="H21" s="16">
        <v>2500</v>
      </c>
      <c r="I21" s="20">
        <f>RANK(H21,H$2:H$21)</f>
        <v>1</v>
      </c>
    </row>
    <row r="25" spans="1:9" ht="15.75" thickBot="1" x14ac:dyDescent="0.3"/>
    <row r="26" spans="1:9" ht="15.75" thickBot="1" x14ac:dyDescent="0.3">
      <c r="B26" s="1" t="s">
        <v>32</v>
      </c>
      <c r="C26" s="1" t="s">
        <v>33</v>
      </c>
    </row>
    <row r="27" spans="1:9" ht="15.75" thickBot="1" x14ac:dyDescent="0.3">
      <c r="B27" s="1" t="s">
        <v>11</v>
      </c>
      <c r="C27" s="1" t="s">
        <v>34</v>
      </c>
    </row>
    <row r="28" spans="1:9" ht="15.75" thickBot="1" x14ac:dyDescent="0.3">
      <c r="B28" s="1" t="s">
        <v>18</v>
      </c>
      <c r="C28" s="1" t="s">
        <v>35</v>
      </c>
    </row>
    <row r="29" spans="1:9" ht="15.75" thickBot="1" x14ac:dyDescent="0.3">
      <c r="B29" s="1" t="s">
        <v>24</v>
      </c>
      <c r="C29" s="1" t="s">
        <v>36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3DBB6-7876-4617-A426-289A6FFD31D0}">
  <dimension ref="A3:C100"/>
  <sheetViews>
    <sheetView workbookViewId="0">
      <selection activeCell="E27" sqref="E27"/>
    </sheetView>
  </sheetViews>
  <sheetFormatPr defaultRowHeight="15" x14ac:dyDescent="0.25"/>
  <cols>
    <col min="1" max="1" width="23" bestFit="1" customWidth="1"/>
    <col min="2" max="2" width="15.42578125" bestFit="1" customWidth="1"/>
    <col min="3" max="3" width="17" bestFit="1" customWidth="1"/>
  </cols>
  <sheetData>
    <row r="3" spans="1:3" x14ac:dyDescent="0.25">
      <c r="A3" s="21" t="s">
        <v>39</v>
      </c>
      <c r="B3" t="s">
        <v>37</v>
      </c>
      <c r="C3" t="s">
        <v>38</v>
      </c>
    </row>
    <row r="4" spans="1:3" x14ac:dyDescent="0.25">
      <c r="A4" s="22">
        <v>45662</v>
      </c>
      <c r="B4" s="12">
        <v>7</v>
      </c>
      <c r="C4" s="12">
        <v>1550</v>
      </c>
    </row>
    <row r="5" spans="1:3" x14ac:dyDescent="0.25">
      <c r="A5" s="23" t="s">
        <v>8</v>
      </c>
      <c r="B5" s="12">
        <v>2</v>
      </c>
      <c r="C5" s="12">
        <v>1200</v>
      </c>
    </row>
    <row r="6" spans="1:3" x14ac:dyDescent="0.25">
      <c r="A6" s="24" t="s">
        <v>9</v>
      </c>
      <c r="B6" s="12">
        <v>2</v>
      </c>
      <c r="C6" s="12">
        <v>1200</v>
      </c>
    </row>
    <row r="7" spans="1:3" x14ac:dyDescent="0.25">
      <c r="A7" s="25" t="s">
        <v>11</v>
      </c>
      <c r="B7" s="12">
        <v>2</v>
      </c>
      <c r="C7" s="12">
        <v>1200</v>
      </c>
    </row>
    <row r="8" spans="1:3" x14ac:dyDescent="0.25">
      <c r="A8" s="26" t="s">
        <v>10</v>
      </c>
      <c r="B8" s="12">
        <v>2</v>
      </c>
      <c r="C8" s="12">
        <v>1200</v>
      </c>
    </row>
    <row r="9" spans="1:3" x14ac:dyDescent="0.25">
      <c r="A9" s="23" t="s">
        <v>12</v>
      </c>
      <c r="B9" s="12">
        <v>5</v>
      </c>
      <c r="C9" s="12">
        <v>350</v>
      </c>
    </row>
    <row r="10" spans="1:3" x14ac:dyDescent="0.25">
      <c r="A10" s="24" t="s">
        <v>13</v>
      </c>
      <c r="B10" s="12">
        <v>5</v>
      </c>
      <c r="C10" s="12">
        <v>350</v>
      </c>
    </row>
    <row r="11" spans="1:3" x14ac:dyDescent="0.25">
      <c r="A11" s="25" t="s">
        <v>11</v>
      </c>
      <c r="B11" s="12">
        <v>5</v>
      </c>
      <c r="C11" s="12">
        <v>350</v>
      </c>
    </row>
    <row r="12" spans="1:3" x14ac:dyDescent="0.25">
      <c r="A12" s="26" t="s">
        <v>14</v>
      </c>
      <c r="B12" s="12">
        <v>5</v>
      </c>
      <c r="C12" s="12">
        <v>350</v>
      </c>
    </row>
    <row r="13" spans="1:3" x14ac:dyDescent="0.25">
      <c r="A13" s="22">
        <v>45663</v>
      </c>
      <c r="B13" s="12">
        <v>10</v>
      </c>
      <c r="C13" s="12">
        <v>150</v>
      </c>
    </row>
    <row r="14" spans="1:3" x14ac:dyDescent="0.25">
      <c r="A14" s="23" t="s">
        <v>15</v>
      </c>
      <c r="B14" s="12">
        <v>10</v>
      </c>
      <c r="C14" s="12">
        <v>150</v>
      </c>
    </row>
    <row r="15" spans="1:3" x14ac:dyDescent="0.25">
      <c r="A15" s="24" t="s">
        <v>16</v>
      </c>
      <c r="B15" s="12">
        <v>10</v>
      </c>
      <c r="C15" s="12">
        <v>150</v>
      </c>
    </row>
    <row r="16" spans="1:3" x14ac:dyDescent="0.25">
      <c r="A16" s="25" t="s">
        <v>18</v>
      </c>
      <c r="B16" s="12">
        <v>10</v>
      </c>
      <c r="C16" s="12">
        <v>150</v>
      </c>
    </row>
    <row r="17" spans="1:3" x14ac:dyDescent="0.25">
      <c r="A17" s="26" t="s">
        <v>17</v>
      </c>
      <c r="B17" s="12">
        <v>10</v>
      </c>
      <c r="C17" s="12">
        <v>150</v>
      </c>
    </row>
    <row r="18" spans="1:3" x14ac:dyDescent="0.25">
      <c r="A18" s="22">
        <v>45664</v>
      </c>
      <c r="B18" s="12">
        <v>10</v>
      </c>
      <c r="C18" s="12">
        <v>950</v>
      </c>
    </row>
    <row r="19" spans="1:3" x14ac:dyDescent="0.25">
      <c r="A19" s="23" t="s">
        <v>8</v>
      </c>
      <c r="B19" s="12">
        <v>7</v>
      </c>
      <c r="C19" s="12">
        <v>400</v>
      </c>
    </row>
    <row r="20" spans="1:3" x14ac:dyDescent="0.25">
      <c r="A20" s="24" t="s">
        <v>9</v>
      </c>
      <c r="B20" s="12">
        <v>7</v>
      </c>
      <c r="C20" s="12">
        <v>400</v>
      </c>
    </row>
    <row r="21" spans="1:3" x14ac:dyDescent="0.25">
      <c r="A21" s="25" t="s">
        <v>11</v>
      </c>
      <c r="B21" s="12">
        <v>7</v>
      </c>
      <c r="C21" s="12">
        <v>400</v>
      </c>
    </row>
    <row r="22" spans="1:3" x14ac:dyDescent="0.25">
      <c r="A22" s="26" t="s">
        <v>19</v>
      </c>
      <c r="B22" s="12">
        <v>7</v>
      </c>
      <c r="C22" s="12">
        <v>400</v>
      </c>
    </row>
    <row r="23" spans="1:3" x14ac:dyDescent="0.25">
      <c r="A23" s="23" t="s">
        <v>20</v>
      </c>
      <c r="B23" s="12">
        <v>3</v>
      </c>
      <c r="C23" s="12">
        <v>550</v>
      </c>
    </row>
    <row r="24" spans="1:3" x14ac:dyDescent="0.25">
      <c r="A24" s="24" t="s">
        <v>21</v>
      </c>
      <c r="B24" s="12">
        <v>3</v>
      </c>
      <c r="C24" s="12">
        <v>550</v>
      </c>
    </row>
    <row r="25" spans="1:3" x14ac:dyDescent="0.25">
      <c r="A25" s="25" t="s">
        <v>18</v>
      </c>
      <c r="B25" s="12">
        <v>3</v>
      </c>
      <c r="C25" s="12">
        <v>550</v>
      </c>
    </row>
    <row r="26" spans="1:3" x14ac:dyDescent="0.25">
      <c r="A26" s="26" t="s">
        <v>22</v>
      </c>
      <c r="B26" s="12">
        <v>3</v>
      </c>
      <c r="C26" s="12">
        <v>550</v>
      </c>
    </row>
    <row r="27" spans="1:3" x14ac:dyDescent="0.25">
      <c r="A27" s="22">
        <v>45665</v>
      </c>
      <c r="B27" s="12">
        <v>20</v>
      </c>
      <c r="C27" s="12">
        <v>75</v>
      </c>
    </row>
    <row r="28" spans="1:3" x14ac:dyDescent="0.25">
      <c r="A28" s="23" t="s">
        <v>12</v>
      </c>
      <c r="B28" s="12">
        <v>20</v>
      </c>
      <c r="C28" s="12">
        <v>75</v>
      </c>
    </row>
    <row r="29" spans="1:3" x14ac:dyDescent="0.25">
      <c r="A29" s="24" t="s">
        <v>13</v>
      </c>
      <c r="B29" s="12">
        <v>20</v>
      </c>
      <c r="C29" s="12">
        <v>75</v>
      </c>
    </row>
    <row r="30" spans="1:3" x14ac:dyDescent="0.25">
      <c r="A30" s="25" t="s">
        <v>24</v>
      </c>
      <c r="B30" s="12">
        <v>20</v>
      </c>
      <c r="C30" s="12">
        <v>75</v>
      </c>
    </row>
    <row r="31" spans="1:3" x14ac:dyDescent="0.25">
      <c r="A31" s="26" t="s">
        <v>23</v>
      </c>
      <c r="B31" s="12">
        <v>20</v>
      </c>
      <c r="C31" s="12">
        <v>75</v>
      </c>
    </row>
    <row r="32" spans="1:3" x14ac:dyDescent="0.25">
      <c r="A32" s="22">
        <v>45666</v>
      </c>
      <c r="B32" s="12">
        <v>30</v>
      </c>
      <c r="C32" s="12">
        <v>10</v>
      </c>
    </row>
    <row r="33" spans="1:3" x14ac:dyDescent="0.25">
      <c r="A33" s="23" t="s">
        <v>15</v>
      </c>
      <c r="B33" s="12">
        <v>30</v>
      </c>
      <c r="C33" s="12">
        <v>10</v>
      </c>
    </row>
    <row r="34" spans="1:3" x14ac:dyDescent="0.25">
      <c r="A34" s="24" t="s">
        <v>16</v>
      </c>
      <c r="B34" s="12">
        <v>30</v>
      </c>
      <c r="C34" s="12">
        <v>10</v>
      </c>
    </row>
    <row r="35" spans="1:3" x14ac:dyDescent="0.25">
      <c r="A35" s="25" t="s">
        <v>24</v>
      </c>
      <c r="B35" s="12">
        <v>30</v>
      </c>
      <c r="C35" s="12">
        <v>10</v>
      </c>
    </row>
    <row r="36" spans="1:3" x14ac:dyDescent="0.25">
      <c r="A36" s="26" t="s">
        <v>25</v>
      </c>
      <c r="B36" s="12">
        <v>30</v>
      </c>
      <c r="C36" s="12">
        <v>10</v>
      </c>
    </row>
    <row r="37" spans="1:3" x14ac:dyDescent="0.25">
      <c r="A37" s="22">
        <v>45667</v>
      </c>
      <c r="B37" s="12">
        <v>1</v>
      </c>
      <c r="C37" s="12">
        <v>2500</v>
      </c>
    </row>
    <row r="38" spans="1:3" x14ac:dyDescent="0.25">
      <c r="A38" s="23" t="s">
        <v>20</v>
      </c>
      <c r="B38" s="12">
        <v>1</v>
      </c>
      <c r="C38" s="12">
        <v>2500</v>
      </c>
    </row>
    <row r="39" spans="1:3" x14ac:dyDescent="0.25">
      <c r="A39" s="24" t="s">
        <v>21</v>
      </c>
      <c r="B39" s="12">
        <v>1</v>
      </c>
      <c r="C39" s="12">
        <v>2500</v>
      </c>
    </row>
    <row r="40" spans="1:3" x14ac:dyDescent="0.25">
      <c r="A40" s="25" t="s">
        <v>11</v>
      </c>
      <c r="B40" s="12">
        <v>1</v>
      </c>
      <c r="C40" s="12">
        <v>2500</v>
      </c>
    </row>
    <row r="41" spans="1:3" x14ac:dyDescent="0.25">
      <c r="A41" s="26" t="s">
        <v>26</v>
      </c>
      <c r="B41" s="12">
        <v>1</v>
      </c>
      <c r="C41" s="12">
        <v>2500</v>
      </c>
    </row>
    <row r="42" spans="1:3" x14ac:dyDescent="0.25">
      <c r="A42" s="22">
        <v>45668</v>
      </c>
      <c r="B42" s="12">
        <v>8</v>
      </c>
      <c r="C42" s="12">
        <v>50</v>
      </c>
    </row>
    <row r="43" spans="1:3" x14ac:dyDescent="0.25">
      <c r="A43" s="23" t="s">
        <v>8</v>
      </c>
      <c r="B43" s="12">
        <v>8</v>
      </c>
      <c r="C43" s="12">
        <v>50</v>
      </c>
    </row>
    <row r="44" spans="1:3" x14ac:dyDescent="0.25">
      <c r="A44" s="24" t="s">
        <v>9</v>
      </c>
      <c r="B44" s="12">
        <v>8</v>
      </c>
      <c r="C44" s="12">
        <v>50</v>
      </c>
    </row>
    <row r="45" spans="1:3" x14ac:dyDescent="0.25">
      <c r="A45" s="25" t="s">
        <v>18</v>
      </c>
      <c r="B45" s="12">
        <v>8</v>
      </c>
      <c r="C45" s="12">
        <v>50</v>
      </c>
    </row>
    <row r="46" spans="1:3" x14ac:dyDescent="0.25">
      <c r="A46" s="26" t="s">
        <v>27</v>
      </c>
      <c r="B46" s="12">
        <v>8</v>
      </c>
      <c r="C46" s="12">
        <v>50</v>
      </c>
    </row>
    <row r="47" spans="1:3" x14ac:dyDescent="0.25">
      <c r="A47" s="22">
        <v>45669</v>
      </c>
      <c r="B47" s="12">
        <v>15</v>
      </c>
      <c r="C47" s="12">
        <v>120</v>
      </c>
    </row>
    <row r="48" spans="1:3" x14ac:dyDescent="0.25">
      <c r="A48" s="23" t="s">
        <v>12</v>
      </c>
      <c r="B48" s="12">
        <v>15</v>
      </c>
      <c r="C48" s="12">
        <v>120</v>
      </c>
    </row>
    <row r="49" spans="1:3" x14ac:dyDescent="0.25">
      <c r="A49" s="24" t="s">
        <v>13</v>
      </c>
      <c r="B49" s="12">
        <v>15</v>
      </c>
      <c r="C49" s="12">
        <v>120</v>
      </c>
    </row>
    <row r="50" spans="1:3" x14ac:dyDescent="0.25">
      <c r="A50" s="25" t="s">
        <v>24</v>
      </c>
      <c r="B50" s="12">
        <v>15</v>
      </c>
      <c r="C50" s="12">
        <v>120</v>
      </c>
    </row>
    <row r="51" spans="1:3" x14ac:dyDescent="0.25">
      <c r="A51" s="26" t="s">
        <v>28</v>
      </c>
      <c r="B51" s="12">
        <v>15</v>
      </c>
      <c r="C51" s="12">
        <v>120</v>
      </c>
    </row>
    <row r="52" spans="1:3" x14ac:dyDescent="0.25">
      <c r="A52" s="22">
        <v>45670</v>
      </c>
      <c r="B52" s="12">
        <v>1</v>
      </c>
      <c r="C52" s="12">
        <v>1200</v>
      </c>
    </row>
    <row r="53" spans="1:3" x14ac:dyDescent="0.25">
      <c r="A53" s="23" t="s">
        <v>15</v>
      </c>
      <c r="B53" s="12">
        <v>1</v>
      </c>
      <c r="C53" s="12">
        <v>1200</v>
      </c>
    </row>
    <row r="54" spans="1:3" x14ac:dyDescent="0.25">
      <c r="A54" s="24" t="s">
        <v>16</v>
      </c>
      <c r="B54" s="12">
        <v>1</v>
      </c>
      <c r="C54" s="12">
        <v>1200</v>
      </c>
    </row>
    <row r="55" spans="1:3" x14ac:dyDescent="0.25">
      <c r="A55" s="25" t="s">
        <v>11</v>
      </c>
      <c r="B55" s="12">
        <v>1</v>
      </c>
      <c r="C55" s="12">
        <v>1200</v>
      </c>
    </row>
    <row r="56" spans="1:3" x14ac:dyDescent="0.25">
      <c r="A56" s="26" t="s">
        <v>10</v>
      </c>
      <c r="B56" s="12">
        <v>1</v>
      </c>
      <c r="C56" s="12">
        <v>1200</v>
      </c>
    </row>
    <row r="57" spans="1:3" x14ac:dyDescent="0.25">
      <c r="A57" s="22">
        <v>45671</v>
      </c>
      <c r="B57" s="12">
        <v>5</v>
      </c>
      <c r="C57" s="12">
        <v>200</v>
      </c>
    </row>
    <row r="58" spans="1:3" x14ac:dyDescent="0.25">
      <c r="A58" s="23" t="s">
        <v>20</v>
      </c>
      <c r="B58" s="12">
        <v>5</v>
      </c>
      <c r="C58" s="12">
        <v>200</v>
      </c>
    </row>
    <row r="59" spans="1:3" x14ac:dyDescent="0.25">
      <c r="A59" s="24" t="s">
        <v>21</v>
      </c>
      <c r="B59" s="12">
        <v>5</v>
      </c>
      <c r="C59" s="12">
        <v>200</v>
      </c>
    </row>
    <row r="60" spans="1:3" x14ac:dyDescent="0.25">
      <c r="A60" s="25" t="s">
        <v>18</v>
      </c>
      <c r="B60" s="12">
        <v>5</v>
      </c>
      <c r="C60" s="12">
        <v>200</v>
      </c>
    </row>
    <row r="61" spans="1:3" x14ac:dyDescent="0.25">
      <c r="A61" s="26" t="s">
        <v>29</v>
      </c>
      <c r="B61" s="12">
        <v>5</v>
      </c>
      <c r="C61" s="12">
        <v>200</v>
      </c>
    </row>
    <row r="62" spans="1:3" x14ac:dyDescent="0.25">
      <c r="A62" s="22">
        <v>45672</v>
      </c>
      <c r="B62" s="12">
        <v>3</v>
      </c>
      <c r="C62" s="12">
        <v>350</v>
      </c>
    </row>
    <row r="63" spans="1:3" x14ac:dyDescent="0.25">
      <c r="A63" s="23" t="s">
        <v>8</v>
      </c>
      <c r="B63" s="12">
        <v>3</v>
      </c>
      <c r="C63" s="12">
        <v>350</v>
      </c>
    </row>
    <row r="64" spans="1:3" x14ac:dyDescent="0.25">
      <c r="A64" s="24" t="s">
        <v>9</v>
      </c>
      <c r="B64" s="12">
        <v>3</v>
      </c>
      <c r="C64" s="12">
        <v>350</v>
      </c>
    </row>
    <row r="65" spans="1:3" x14ac:dyDescent="0.25">
      <c r="A65" s="25" t="s">
        <v>11</v>
      </c>
      <c r="B65" s="12">
        <v>3</v>
      </c>
      <c r="C65" s="12">
        <v>350</v>
      </c>
    </row>
    <row r="66" spans="1:3" x14ac:dyDescent="0.25">
      <c r="A66" s="26" t="s">
        <v>14</v>
      </c>
      <c r="B66" s="12">
        <v>3</v>
      </c>
      <c r="C66" s="12">
        <v>350</v>
      </c>
    </row>
    <row r="67" spans="1:3" x14ac:dyDescent="0.25">
      <c r="A67" s="22">
        <v>45673</v>
      </c>
      <c r="B67" s="12">
        <v>6</v>
      </c>
      <c r="C67" s="12">
        <v>150</v>
      </c>
    </row>
    <row r="68" spans="1:3" x14ac:dyDescent="0.25">
      <c r="A68" s="23" t="s">
        <v>12</v>
      </c>
      <c r="B68" s="12">
        <v>6</v>
      </c>
      <c r="C68" s="12">
        <v>150</v>
      </c>
    </row>
    <row r="69" spans="1:3" x14ac:dyDescent="0.25">
      <c r="A69" s="24" t="s">
        <v>13</v>
      </c>
      <c r="B69" s="12">
        <v>6</v>
      </c>
      <c r="C69" s="12">
        <v>150</v>
      </c>
    </row>
    <row r="70" spans="1:3" x14ac:dyDescent="0.25">
      <c r="A70" s="25" t="s">
        <v>18</v>
      </c>
      <c r="B70" s="12">
        <v>6</v>
      </c>
      <c r="C70" s="12">
        <v>150</v>
      </c>
    </row>
    <row r="71" spans="1:3" x14ac:dyDescent="0.25">
      <c r="A71" s="26" t="s">
        <v>17</v>
      </c>
      <c r="B71" s="12">
        <v>6</v>
      </c>
      <c r="C71" s="12">
        <v>150</v>
      </c>
    </row>
    <row r="72" spans="1:3" x14ac:dyDescent="0.25">
      <c r="A72" s="22">
        <v>45674</v>
      </c>
      <c r="B72" s="12">
        <v>9</v>
      </c>
      <c r="C72" s="12">
        <v>750</v>
      </c>
    </row>
    <row r="73" spans="1:3" x14ac:dyDescent="0.25">
      <c r="A73" s="23" t="s">
        <v>8</v>
      </c>
      <c r="B73" s="12">
        <v>5</v>
      </c>
      <c r="C73" s="12">
        <v>350</v>
      </c>
    </row>
    <row r="74" spans="1:3" x14ac:dyDescent="0.25">
      <c r="A74" s="24" t="s">
        <v>9</v>
      </c>
      <c r="B74" s="12">
        <v>5</v>
      </c>
      <c r="C74" s="12">
        <v>350</v>
      </c>
    </row>
    <row r="75" spans="1:3" x14ac:dyDescent="0.25">
      <c r="A75" s="25" t="s">
        <v>11</v>
      </c>
      <c r="B75" s="12">
        <v>5</v>
      </c>
      <c r="C75" s="12">
        <v>350</v>
      </c>
    </row>
    <row r="76" spans="1:3" x14ac:dyDescent="0.25">
      <c r="A76" s="26" t="s">
        <v>14</v>
      </c>
      <c r="B76" s="12">
        <v>5</v>
      </c>
      <c r="C76" s="12">
        <v>350</v>
      </c>
    </row>
    <row r="77" spans="1:3" x14ac:dyDescent="0.25">
      <c r="A77" s="23" t="s">
        <v>15</v>
      </c>
      <c r="B77" s="12">
        <v>4</v>
      </c>
      <c r="C77" s="12">
        <v>400</v>
      </c>
    </row>
    <row r="78" spans="1:3" x14ac:dyDescent="0.25">
      <c r="A78" s="24" t="s">
        <v>16</v>
      </c>
      <c r="B78" s="12">
        <v>4</v>
      </c>
      <c r="C78" s="12">
        <v>400</v>
      </c>
    </row>
    <row r="79" spans="1:3" x14ac:dyDescent="0.25">
      <c r="A79" s="25" t="s">
        <v>11</v>
      </c>
      <c r="B79" s="12">
        <v>4</v>
      </c>
      <c r="C79" s="12">
        <v>400</v>
      </c>
    </row>
    <row r="80" spans="1:3" x14ac:dyDescent="0.25">
      <c r="A80" s="26" t="s">
        <v>19</v>
      </c>
      <c r="B80" s="12">
        <v>4</v>
      </c>
      <c r="C80" s="12">
        <v>400</v>
      </c>
    </row>
    <row r="81" spans="1:3" x14ac:dyDescent="0.25">
      <c r="A81" s="22">
        <v>45675</v>
      </c>
      <c r="B81" s="12">
        <v>10</v>
      </c>
      <c r="C81" s="12">
        <v>75</v>
      </c>
    </row>
    <row r="82" spans="1:3" x14ac:dyDescent="0.25">
      <c r="A82" s="23" t="s">
        <v>20</v>
      </c>
      <c r="B82" s="12">
        <v>10</v>
      </c>
      <c r="C82" s="12">
        <v>75</v>
      </c>
    </row>
    <row r="83" spans="1:3" x14ac:dyDescent="0.25">
      <c r="A83" s="24" t="s">
        <v>21</v>
      </c>
      <c r="B83" s="12">
        <v>10</v>
      </c>
      <c r="C83" s="12">
        <v>75</v>
      </c>
    </row>
    <row r="84" spans="1:3" x14ac:dyDescent="0.25">
      <c r="A84" s="25" t="s">
        <v>24</v>
      </c>
      <c r="B84" s="12">
        <v>10</v>
      </c>
      <c r="C84" s="12">
        <v>75</v>
      </c>
    </row>
    <row r="85" spans="1:3" x14ac:dyDescent="0.25">
      <c r="A85" s="26" t="s">
        <v>23</v>
      </c>
      <c r="B85" s="12">
        <v>10</v>
      </c>
      <c r="C85" s="12">
        <v>75</v>
      </c>
    </row>
    <row r="86" spans="1:3" x14ac:dyDescent="0.25">
      <c r="A86" s="22">
        <v>45676</v>
      </c>
      <c r="B86" s="12">
        <v>2</v>
      </c>
      <c r="C86" s="12">
        <v>550</v>
      </c>
    </row>
    <row r="87" spans="1:3" x14ac:dyDescent="0.25">
      <c r="A87" s="23" t="s">
        <v>12</v>
      </c>
      <c r="B87" s="12">
        <v>2</v>
      </c>
      <c r="C87" s="12">
        <v>550</v>
      </c>
    </row>
    <row r="88" spans="1:3" x14ac:dyDescent="0.25">
      <c r="A88" s="24" t="s">
        <v>13</v>
      </c>
      <c r="B88" s="12">
        <v>2</v>
      </c>
      <c r="C88" s="12">
        <v>550</v>
      </c>
    </row>
    <row r="89" spans="1:3" x14ac:dyDescent="0.25">
      <c r="A89" s="25" t="s">
        <v>18</v>
      </c>
      <c r="B89" s="12">
        <v>2</v>
      </c>
      <c r="C89" s="12">
        <v>550</v>
      </c>
    </row>
    <row r="90" spans="1:3" x14ac:dyDescent="0.25">
      <c r="A90" s="26" t="s">
        <v>22</v>
      </c>
      <c r="B90" s="12">
        <v>2</v>
      </c>
      <c r="C90" s="12">
        <v>550</v>
      </c>
    </row>
    <row r="91" spans="1:3" x14ac:dyDescent="0.25">
      <c r="A91" s="22">
        <v>45677</v>
      </c>
      <c r="B91" s="12">
        <v>6</v>
      </c>
      <c r="C91" s="12">
        <v>2620</v>
      </c>
    </row>
    <row r="92" spans="1:3" x14ac:dyDescent="0.25">
      <c r="A92" s="23" t="s">
        <v>8</v>
      </c>
      <c r="B92" s="12">
        <v>1</v>
      </c>
      <c r="C92" s="12">
        <v>2500</v>
      </c>
    </row>
    <row r="93" spans="1:3" x14ac:dyDescent="0.25">
      <c r="A93" s="24" t="s">
        <v>9</v>
      </c>
      <c r="B93" s="12">
        <v>1</v>
      </c>
      <c r="C93" s="12">
        <v>2500</v>
      </c>
    </row>
    <row r="94" spans="1:3" x14ac:dyDescent="0.25">
      <c r="A94" s="25" t="s">
        <v>11</v>
      </c>
      <c r="B94" s="12">
        <v>1</v>
      </c>
      <c r="C94" s="12">
        <v>2500</v>
      </c>
    </row>
    <row r="95" spans="1:3" x14ac:dyDescent="0.25">
      <c r="A95" s="26" t="s">
        <v>26</v>
      </c>
      <c r="B95" s="12">
        <v>1</v>
      </c>
      <c r="C95" s="12">
        <v>2500</v>
      </c>
    </row>
    <row r="96" spans="1:3" x14ac:dyDescent="0.25">
      <c r="A96" s="23" t="s">
        <v>15</v>
      </c>
      <c r="B96" s="12">
        <v>5</v>
      </c>
      <c r="C96" s="12">
        <v>120</v>
      </c>
    </row>
    <row r="97" spans="1:3" x14ac:dyDescent="0.25">
      <c r="A97" s="24" t="s">
        <v>16</v>
      </c>
      <c r="B97" s="12">
        <v>5</v>
      </c>
      <c r="C97" s="12">
        <v>120</v>
      </c>
    </row>
    <row r="98" spans="1:3" x14ac:dyDescent="0.25">
      <c r="A98" s="25" t="s">
        <v>24</v>
      </c>
      <c r="B98" s="12">
        <v>5</v>
      </c>
      <c r="C98" s="12">
        <v>120</v>
      </c>
    </row>
    <row r="99" spans="1:3" x14ac:dyDescent="0.25">
      <c r="A99" s="26" t="s">
        <v>28</v>
      </c>
      <c r="B99" s="12">
        <v>5</v>
      </c>
      <c r="C99" s="12">
        <v>120</v>
      </c>
    </row>
    <row r="100" spans="1:3" x14ac:dyDescent="0.25">
      <c r="A100" s="22" t="s">
        <v>40</v>
      </c>
      <c r="B100" s="12">
        <v>143</v>
      </c>
      <c r="C100" s="12">
        <v>11300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DD807-242B-4E9B-BFBD-61EC2763BC43}">
  <dimension ref="A1:K21"/>
  <sheetViews>
    <sheetView tabSelected="1" workbookViewId="0">
      <selection activeCell="C5" sqref="C5"/>
    </sheetView>
  </sheetViews>
  <sheetFormatPr defaultRowHeight="15" x14ac:dyDescent="0.25"/>
  <cols>
    <col min="1" max="1" width="21.42578125" customWidth="1"/>
    <col min="2" max="2" width="22.140625" customWidth="1"/>
    <col min="3" max="3" width="16.42578125" customWidth="1"/>
    <col min="4" max="4" width="17.5703125" customWidth="1"/>
    <col min="5" max="6" width="16.28515625" customWidth="1"/>
    <col min="7" max="7" width="15.42578125" customWidth="1"/>
    <col min="8" max="8" width="16.28515625" customWidth="1"/>
    <col min="10" max="10" width="13.140625" bestFit="1" customWidth="1"/>
    <col min="11" max="11" width="20" customWidth="1"/>
  </cols>
  <sheetData>
    <row r="1" spans="1:11" ht="15.75" thickBot="1" x14ac:dyDescent="0.3">
      <c r="A1" s="7" t="s">
        <v>30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3" t="s">
        <v>7</v>
      </c>
      <c r="K1" s="4" t="s">
        <v>41</v>
      </c>
    </row>
    <row r="2" spans="1:11" ht="15.75" thickBot="1" x14ac:dyDescent="0.3">
      <c r="A2" s="6">
        <v>1001</v>
      </c>
      <c r="B2" s="3">
        <v>45662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2</v>
      </c>
      <c r="H2" s="14">
        <v>1200</v>
      </c>
      <c r="K2" s="4">
        <f xml:space="preserve"> SUM(H2:H21)</f>
        <v>11300</v>
      </c>
    </row>
    <row r="3" spans="1:11" ht="15.75" thickBot="1" x14ac:dyDescent="0.3">
      <c r="A3" s="6">
        <v>1002</v>
      </c>
      <c r="B3" s="3">
        <v>45662</v>
      </c>
      <c r="C3" s="2" t="s">
        <v>12</v>
      </c>
      <c r="D3" s="2" t="s">
        <v>13</v>
      </c>
      <c r="E3" s="2" t="s">
        <v>14</v>
      </c>
      <c r="F3" s="2" t="s">
        <v>11</v>
      </c>
      <c r="G3" s="2">
        <v>5</v>
      </c>
      <c r="H3" s="15">
        <v>350</v>
      </c>
      <c r="J3" s="21" t="s">
        <v>39</v>
      </c>
    </row>
    <row r="4" spans="1:11" ht="29.25" thickBot="1" x14ac:dyDescent="0.3">
      <c r="A4" s="6">
        <v>1003</v>
      </c>
      <c r="B4" s="3">
        <v>45663</v>
      </c>
      <c r="C4" s="2" t="s">
        <v>15</v>
      </c>
      <c r="D4" s="2" t="s">
        <v>16</v>
      </c>
      <c r="E4" s="2" t="s">
        <v>17</v>
      </c>
      <c r="F4" s="2" t="s">
        <v>18</v>
      </c>
      <c r="G4" s="2">
        <v>10</v>
      </c>
      <c r="H4" s="15">
        <v>150</v>
      </c>
      <c r="J4" s="19" t="s">
        <v>24</v>
      </c>
    </row>
    <row r="5" spans="1:11" ht="43.5" thickBot="1" x14ac:dyDescent="0.3">
      <c r="A5" s="6">
        <v>1004</v>
      </c>
      <c r="B5" s="3">
        <v>45664</v>
      </c>
      <c r="C5" s="2" t="s">
        <v>8</v>
      </c>
      <c r="D5" s="2" t="s">
        <v>9</v>
      </c>
      <c r="E5" s="2" t="s">
        <v>19</v>
      </c>
      <c r="F5" s="2" t="s">
        <v>11</v>
      </c>
      <c r="G5" s="2">
        <v>7</v>
      </c>
      <c r="H5" s="15">
        <v>400</v>
      </c>
      <c r="J5" s="19" t="s">
        <v>11</v>
      </c>
    </row>
    <row r="6" spans="1:11" ht="29.25" thickBot="1" x14ac:dyDescent="0.3">
      <c r="A6" s="6">
        <v>1005</v>
      </c>
      <c r="B6" s="3">
        <v>45664</v>
      </c>
      <c r="C6" s="2" t="s">
        <v>20</v>
      </c>
      <c r="D6" s="2" t="s">
        <v>21</v>
      </c>
      <c r="E6" s="2" t="s">
        <v>22</v>
      </c>
      <c r="F6" s="2" t="s">
        <v>18</v>
      </c>
      <c r="G6" s="2">
        <v>3</v>
      </c>
      <c r="H6" s="15">
        <v>550</v>
      </c>
      <c r="J6" s="19" t="s">
        <v>18</v>
      </c>
    </row>
    <row r="7" spans="1:11" ht="43.5" thickBot="1" x14ac:dyDescent="0.3">
      <c r="A7" s="6">
        <v>1006</v>
      </c>
      <c r="B7" s="3">
        <v>45665</v>
      </c>
      <c r="C7" s="2" t="s">
        <v>12</v>
      </c>
      <c r="D7" s="2" t="s">
        <v>13</v>
      </c>
      <c r="E7" s="2" t="s">
        <v>23</v>
      </c>
      <c r="F7" s="2" t="s">
        <v>24</v>
      </c>
      <c r="G7" s="2">
        <v>20</v>
      </c>
      <c r="H7" s="15">
        <v>75</v>
      </c>
      <c r="J7" s="19" t="s">
        <v>40</v>
      </c>
    </row>
    <row r="8" spans="1:11" ht="29.25" thickBot="1" x14ac:dyDescent="0.3">
      <c r="A8" s="6">
        <v>1007</v>
      </c>
      <c r="B8" s="3">
        <v>45666</v>
      </c>
      <c r="C8" s="2" t="s">
        <v>15</v>
      </c>
      <c r="D8" s="2" t="s">
        <v>16</v>
      </c>
      <c r="E8" s="2" t="s">
        <v>25</v>
      </c>
      <c r="F8" s="2" t="s">
        <v>24</v>
      </c>
      <c r="G8" s="2">
        <v>30</v>
      </c>
      <c r="H8" s="15">
        <v>10</v>
      </c>
    </row>
    <row r="9" spans="1:11" ht="29.25" thickBot="1" x14ac:dyDescent="0.3">
      <c r="A9" s="6">
        <v>1008</v>
      </c>
      <c r="B9" s="3">
        <v>45667</v>
      </c>
      <c r="C9" s="2" t="s">
        <v>20</v>
      </c>
      <c r="D9" s="2" t="s">
        <v>21</v>
      </c>
      <c r="E9" s="2" t="s">
        <v>26</v>
      </c>
      <c r="F9" s="2" t="s">
        <v>11</v>
      </c>
      <c r="G9" s="2">
        <v>1</v>
      </c>
      <c r="H9" s="14">
        <v>2500</v>
      </c>
    </row>
    <row r="10" spans="1:11" ht="43.5" thickBot="1" x14ac:dyDescent="0.3">
      <c r="A10" s="6">
        <v>1009</v>
      </c>
      <c r="B10" s="3">
        <v>45668</v>
      </c>
      <c r="C10" s="2" t="s">
        <v>8</v>
      </c>
      <c r="D10" s="2" t="s">
        <v>9</v>
      </c>
      <c r="E10" s="2" t="s">
        <v>27</v>
      </c>
      <c r="F10" s="2" t="s">
        <v>18</v>
      </c>
      <c r="G10" s="2">
        <v>8</v>
      </c>
      <c r="H10" s="15">
        <v>50</v>
      </c>
    </row>
    <row r="11" spans="1:11" ht="29.25" thickBot="1" x14ac:dyDescent="0.3">
      <c r="A11" s="6">
        <v>1010</v>
      </c>
      <c r="B11" s="3">
        <v>45669</v>
      </c>
      <c r="C11" s="2" t="s">
        <v>12</v>
      </c>
      <c r="D11" s="2" t="s">
        <v>13</v>
      </c>
      <c r="E11" s="2" t="s">
        <v>28</v>
      </c>
      <c r="F11" s="2" t="s">
        <v>24</v>
      </c>
      <c r="G11" s="2">
        <v>15</v>
      </c>
      <c r="H11" s="15">
        <v>120</v>
      </c>
    </row>
    <row r="12" spans="1:11" ht="29.25" thickBot="1" x14ac:dyDescent="0.3">
      <c r="A12" s="6">
        <v>1011</v>
      </c>
      <c r="B12" s="3">
        <v>45670</v>
      </c>
      <c r="C12" s="2" t="s">
        <v>15</v>
      </c>
      <c r="D12" s="2" t="s">
        <v>16</v>
      </c>
      <c r="E12" s="2" t="s">
        <v>10</v>
      </c>
      <c r="F12" s="2" t="s">
        <v>11</v>
      </c>
      <c r="G12" s="2">
        <v>1</v>
      </c>
      <c r="H12" s="14">
        <v>1200</v>
      </c>
    </row>
    <row r="13" spans="1:11" ht="43.5" thickBot="1" x14ac:dyDescent="0.3">
      <c r="A13" s="6">
        <v>1012</v>
      </c>
      <c r="B13" s="3">
        <v>45671</v>
      </c>
      <c r="C13" s="2" t="s">
        <v>20</v>
      </c>
      <c r="D13" s="2" t="s">
        <v>21</v>
      </c>
      <c r="E13" s="2" t="s">
        <v>29</v>
      </c>
      <c r="F13" s="2" t="s">
        <v>18</v>
      </c>
      <c r="G13" s="2">
        <v>5</v>
      </c>
      <c r="H13" s="15">
        <v>200</v>
      </c>
    </row>
    <row r="14" spans="1:11" ht="43.5" thickBot="1" x14ac:dyDescent="0.3">
      <c r="A14" s="6">
        <v>1013</v>
      </c>
      <c r="B14" s="3">
        <v>45672</v>
      </c>
      <c r="C14" s="2" t="s">
        <v>8</v>
      </c>
      <c r="D14" s="2" t="s">
        <v>9</v>
      </c>
      <c r="E14" s="2" t="s">
        <v>14</v>
      </c>
      <c r="F14" s="2" t="s">
        <v>11</v>
      </c>
      <c r="G14" s="2">
        <v>3</v>
      </c>
      <c r="H14" s="15">
        <v>350</v>
      </c>
    </row>
    <row r="15" spans="1:11" ht="29.25" thickBot="1" x14ac:dyDescent="0.3">
      <c r="A15" s="6">
        <v>1014</v>
      </c>
      <c r="B15" s="3">
        <v>45673</v>
      </c>
      <c r="C15" s="2" t="s">
        <v>12</v>
      </c>
      <c r="D15" s="2" t="s">
        <v>13</v>
      </c>
      <c r="E15" s="2" t="s">
        <v>17</v>
      </c>
      <c r="F15" s="2" t="s">
        <v>18</v>
      </c>
      <c r="G15" s="2">
        <v>6</v>
      </c>
      <c r="H15" s="15">
        <v>150</v>
      </c>
    </row>
    <row r="16" spans="1:11" ht="29.25" thickBot="1" x14ac:dyDescent="0.3">
      <c r="A16" s="6">
        <v>1015</v>
      </c>
      <c r="B16" s="3">
        <v>45674</v>
      </c>
      <c r="C16" s="2" t="s">
        <v>15</v>
      </c>
      <c r="D16" s="2" t="s">
        <v>16</v>
      </c>
      <c r="E16" s="2" t="s">
        <v>19</v>
      </c>
      <c r="F16" s="2" t="s">
        <v>11</v>
      </c>
      <c r="G16" s="2">
        <v>4</v>
      </c>
      <c r="H16" s="15">
        <v>400</v>
      </c>
    </row>
    <row r="17" spans="1:8" ht="43.5" thickBot="1" x14ac:dyDescent="0.3">
      <c r="A17" s="6">
        <v>1016</v>
      </c>
      <c r="B17" s="3">
        <v>45674</v>
      </c>
      <c r="C17" s="2" t="s">
        <v>8</v>
      </c>
      <c r="D17" s="2" t="s">
        <v>9</v>
      </c>
      <c r="E17" s="2" t="s">
        <v>14</v>
      </c>
      <c r="F17" s="2" t="s">
        <v>11</v>
      </c>
      <c r="G17" s="2">
        <v>5</v>
      </c>
      <c r="H17" s="15">
        <v>350</v>
      </c>
    </row>
    <row r="18" spans="1:8" ht="43.5" thickBot="1" x14ac:dyDescent="0.3">
      <c r="A18" s="6">
        <v>1017</v>
      </c>
      <c r="B18" s="3">
        <v>45675</v>
      </c>
      <c r="C18" s="2" t="s">
        <v>20</v>
      </c>
      <c r="D18" s="2" t="s">
        <v>21</v>
      </c>
      <c r="E18" s="2" t="s">
        <v>23</v>
      </c>
      <c r="F18" s="2" t="s">
        <v>24</v>
      </c>
      <c r="G18" s="2">
        <v>10</v>
      </c>
      <c r="H18" s="15">
        <v>75</v>
      </c>
    </row>
    <row r="19" spans="1:8" ht="29.25" thickBot="1" x14ac:dyDescent="0.3">
      <c r="A19" s="6">
        <v>1018</v>
      </c>
      <c r="B19" s="3">
        <v>45676</v>
      </c>
      <c r="C19" s="2" t="s">
        <v>12</v>
      </c>
      <c r="D19" s="2" t="s">
        <v>13</v>
      </c>
      <c r="E19" s="2" t="s">
        <v>22</v>
      </c>
      <c r="F19" s="2" t="s">
        <v>18</v>
      </c>
      <c r="G19" s="2">
        <v>2</v>
      </c>
      <c r="H19" s="15">
        <v>550</v>
      </c>
    </row>
    <row r="20" spans="1:8" ht="29.25" thickBot="1" x14ac:dyDescent="0.3">
      <c r="A20" s="6">
        <v>1019</v>
      </c>
      <c r="B20" s="3">
        <v>45677</v>
      </c>
      <c r="C20" s="2" t="s">
        <v>15</v>
      </c>
      <c r="D20" s="2" t="s">
        <v>16</v>
      </c>
      <c r="E20" s="2" t="s">
        <v>28</v>
      </c>
      <c r="F20" s="2" t="s">
        <v>24</v>
      </c>
      <c r="G20" s="2">
        <v>5</v>
      </c>
      <c r="H20" s="15">
        <v>120</v>
      </c>
    </row>
    <row r="21" spans="1:8" ht="42.75" x14ac:dyDescent="0.25">
      <c r="A21" s="9">
        <v>1020</v>
      </c>
      <c r="B21" s="10">
        <v>45677</v>
      </c>
      <c r="C21" s="11" t="s">
        <v>8</v>
      </c>
      <c r="D21" s="11" t="s">
        <v>9</v>
      </c>
      <c r="E21" s="11" t="s">
        <v>26</v>
      </c>
      <c r="F21" s="11" t="s">
        <v>11</v>
      </c>
      <c r="G21" s="11">
        <v>1</v>
      </c>
      <c r="H21" s="16">
        <v>2500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CL1-01</dc:creator>
  <cp:lastModifiedBy>CL1-01</cp:lastModifiedBy>
  <dcterms:created xsi:type="dcterms:W3CDTF">2025-12-05T23:43:02Z</dcterms:created>
  <dcterms:modified xsi:type="dcterms:W3CDTF">2025-12-06T00:51:09Z</dcterms:modified>
</cp:coreProperties>
</file>